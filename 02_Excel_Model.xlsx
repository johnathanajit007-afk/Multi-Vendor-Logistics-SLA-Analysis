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table+xml" PartName="/xl/tables/table1.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ms-excel.slicerCache+xml" PartName="/xl/slicerCaches/slicerCache1.xml"/>
  <Override ContentType="application/vnd.ms-excel.slicer+xml" PartName="/xl/slicers/slicer1.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ocumentation" sheetId="1" r:id="rId5"/>
    <sheet state="visible" name="Raw_Data" sheetId="2" r:id="rId6"/>
    <sheet state="visible" name="Cleaned_Data" sheetId="3" r:id="rId7"/>
    <sheet state="visible" name="Executive_Dashboard" sheetId="4" r:id="rId8"/>
  </sheets>
  <definedNames>
    <definedName hidden="1" localSheetId="2" name="Z_5722970A_0EDB_4839_9347_3CBE17DCB941_.wvu.FilterData">Cleaned_Data!$A$1:$J$1001</definedName>
    <definedName name="SlicerCache_Table_1_Col_3">#N/A</definedName>
  </definedNames>
  <calcPr/>
  <customWorkbookViews>
    <customWorkbookView activeSheetId="0" maximized="1" windowHeight="0" windowWidth="0" guid="{5722970A-0EDB-4839-9347-3CBE17DCB941}" name="Filter 1"/>
  </customWorkbookViews>
  <pivotCaches>
    <pivotCache cacheId="0" r:id="rId9"/>
  </pivotCaches>
  <extLst>
    <ext uri="{46BE6895-7355-4a93-B00E-2C351335B9C9}">
      <x15:slicerCaches>
        <x14:slicerCache r:id="rId10"/>
      </x15:slicerCaches>
    </ext>
  </extLst>
</workbook>
</file>

<file path=xl/sharedStrings.xml><?xml version="1.0" encoding="utf-8"?>
<sst xmlns="http://schemas.openxmlformats.org/spreadsheetml/2006/main" count="3037" uniqueCount="976">
  <si>
    <t>Project Title: Multi-Vendor Logistics SLA &amp; Revenue Leakage Engine</t>
  </si>
  <si>
    <t>Objective: Identify 3PL delivery SLA breaches, isolate delayed carriers, and calculate contractual financial penalty claims</t>
  </si>
  <si>
    <t>Data Size: 1,000 transaction records</t>
  </si>
  <si>
    <t>Tracking_ID</t>
  </si>
  <si>
    <t>Vendor_Name</t>
  </si>
  <si>
    <t>Destination_Zone</t>
  </si>
  <si>
    <t>Dispatch_Date</t>
  </si>
  <si>
    <t>Delivery_Date</t>
  </si>
  <si>
    <t>Order_Value_INR</t>
  </si>
  <si>
    <t>TRK100000</t>
  </si>
  <si>
    <t>EcomExpress</t>
  </si>
  <si>
    <t>Tier 3</t>
  </si>
  <si>
    <t>TRK100001</t>
  </si>
  <si>
    <t>Delhivery</t>
  </si>
  <si>
    <t>Tier 2</t>
  </si>
  <si>
    <t>TRK100002</t>
  </si>
  <si>
    <t>Metro</t>
  </si>
  <si>
    <t>TRK100003</t>
  </si>
  <si>
    <t>TRK100004</t>
  </si>
  <si>
    <t>BlueDart</t>
  </si>
  <si>
    <t>TRK100005</t>
  </si>
  <si>
    <t>TRK100006</t>
  </si>
  <si>
    <t>TRK100007</t>
  </si>
  <si>
    <t>TRK100008</t>
  </si>
  <si>
    <t>TRK100009</t>
  </si>
  <si>
    <t>TRK100010</t>
  </si>
  <si>
    <t>TRK100011</t>
  </si>
  <si>
    <t>TRK100012</t>
  </si>
  <si>
    <t>TRK100013</t>
  </si>
  <si>
    <t>TRK100014</t>
  </si>
  <si>
    <t>TRK100015</t>
  </si>
  <si>
    <t>TRK100016</t>
  </si>
  <si>
    <t>TRK100017</t>
  </si>
  <si>
    <t>TRK100018</t>
  </si>
  <si>
    <t>TRK100019</t>
  </si>
  <si>
    <t>TRK100020</t>
  </si>
  <si>
    <t>TRK100021</t>
  </si>
  <si>
    <t>TRK100022</t>
  </si>
  <si>
    <t>TRK100023</t>
  </si>
  <si>
    <t>TRK100024</t>
  </si>
  <si>
    <t>TRK100025</t>
  </si>
  <si>
    <t>TRK100026</t>
  </si>
  <si>
    <t>TRK100027</t>
  </si>
  <si>
    <t>TRK100028</t>
  </si>
  <si>
    <t>TRK100029</t>
  </si>
  <si>
    <t>TRK100030</t>
  </si>
  <si>
    <t>TRK100031</t>
  </si>
  <si>
    <t>TRK100032</t>
  </si>
  <si>
    <t>TRK100033</t>
  </si>
  <si>
    <t>TRK100034</t>
  </si>
  <si>
    <t>TRK100035</t>
  </si>
  <si>
    <t>TRK100036</t>
  </si>
  <si>
    <t>TRK100037</t>
  </si>
  <si>
    <t>TRK100038</t>
  </si>
  <si>
    <t>TRK100039</t>
  </si>
  <si>
    <t>TRK100040</t>
  </si>
  <si>
    <t>TRK100041</t>
  </si>
  <si>
    <t>TRK100042</t>
  </si>
  <si>
    <t>TRK100043</t>
  </si>
  <si>
    <t>TRK100044</t>
  </si>
  <si>
    <t>TRK100045</t>
  </si>
  <si>
    <t>TRK100046</t>
  </si>
  <si>
    <t>TRK100047</t>
  </si>
  <si>
    <t>TRK100048</t>
  </si>
  <si>
    <t>TRK100049</t>
  </si>
  <si>
    <t>TRK100050</t>
  </si>
  <si>
    <t>TRK100051</t>
  </si>
  <si>
    <t>TRK100052</t>
  </si>
  <si>
    <t>TRK100053</t>
  </si>
  <si>
    <t>TRK100054</t>
  </si>
  <si>
    <t>TRK100055</t>
  </si>
  <si>
    <t>Target_SLA_Days</t>
  </si>
  <si>
    <t>Actual_Business_Days</t>
  </si>
  <si>
    <t>SLA_Status</t>
  </si>
  <si>
    <t>TRK100056</t>
  </si>
  <si>
    <t>Penalty_Claim_INR</t>
  </si>
  <si>
    <t>TRK100057</t>
  </si>
  <si>
    <t>TRK100058</t>
  </si>
  <si>
    <t>TRK100059</t>
  </si>
  <si>
    <t>TRK100060</t>
  </si>
  <si>
    <t>TRK100061</t>
  </si>
  <si>
    <t>TRK100062</t>
  </si>
  <si>
    <t>TRK100063</t>
  </si>
  <si>
    <t>TRK100064</t>
  </si>
  <si>
    <t>TRK100065</t>
  </si>
  <si>
    <t>TRK100066</t>
  </si>
  <si>
    <t>TRK100067</t>
  </si>
  <si>
    <t>TRK100068</t>
  </si>
  <si>
    <t>TRK100069</t>
  </si>
  <si>
    <t>TRK100070</t>
  </si>
  <si>
    <t>TRK100071</t>
  </si>
  <si>
    <t>TRK100072</t>
  </si>
  <si>
    <t>TRK100073</t>
  </si>
  <si>
    <t>TRK100074</t>
  </si>
  <si>
    <t>TRK100075</t>
  </si>
  <si>
    <t>TRK100076</t>
  </si>
  <si>
    <t>TRK100077</t>
  </si>
  <si>
    <t>TRK100078</t>
  </si>
  <si>
    <t>TRK100079</t>
  </si>
  <si>
    <t>TRK100080</t>
  </si>
  <si>
    <t>TRK100081</t>
  </si>
  <si>
    <t>TRK100082</t>
  </si>
  <si>
    <t>TRK100083</t>
  </si>
  <si>
    <t>TRK100084</t>
  </si>
  <si>
    <t>TRK100085</t>
  </si>
  <si>
    <t>TRK100086</t>
  </si>
  <si>
    <t>TRK100087</t>
  </si>
  <si>
    <t>TRK100088</t>
  </si>
  <si>
    <t>TRK100089</t>
  </si>
  <si>
    <t>TRK100090</t>
  </si>
  <si>
    <t>TRK100091</t>
  </si>
  <si>
    <t>TRK100092</t>
  </si>
  <si>
    <t>TRK100093</t>
  </si>
  <si>
    <t>TRK100094</t>
  </si>
  <si>
    <t>TRK100095</t>
  </si>
  <si>
    <t>TRK100096</t>
  </si>
  <si>
    <t>TRK100097</t>
  </si>
  <si>
    <t>TRK100098</t>
  </si>
  <si>
    <t>TRK100099</t>
  </si>
  <si>
    <t>TRK100100</t>
  </si>
  <si>
    <t>TRK100101</t>
  </si>
  <si>
    <t>TRK100102</t>
  </si>
  <si>
    <t>TRK100103</t>
  </si>
  <si>
    <t>TRK100104</t>
  </si>
  <si>
    <t>TRK100105</t>
  </si>
  <si>
    <t>TRK100106</t>
  </si>
  <si>
    <t>TRK100107</t>
  </si>
  <si>
    <t>TRK100108</t>
  </si>
  <si>
    <t>TRK100109</t>
  </si>
  <si>
    <t>TRK100110</t>
  </si>
  <si>
    <t>TRK100111</t>
  </si>
  <si>
    <t>TRK100112</t>
  </si>
  <si>
    <t>TRK100113</t>
  </si>
  <si>
    <t>TRK100114</t>
  </si>
  <si>
    <t>TRK100115</t>
  </si>
  <si>
    <t>TRK100116</t>
  </si>
  <si>
    <t>TRK100117</t>
  </si>
  <si>
    <t>TRK100118</t>
  </si>
  <si>
    <t>TRK100119</t>
  </si>
  <si>
    <t>TRK100120</t>
  </si>
  <si>
    <t>TRK100121</t>
  </si>
  <si>
    <t>TRK100122</t>
  </si>
  <si>
    <t>TRK100123</t>
  </si>
  <si>
    <t>TRK100124</t>
  </si>
  <si>
    <t>TRK100125</t>
  </si>
  <si>
    <t>TRK100126</t>
  </si>
  <si>
    <t>TRK100127</t>
  </si>
  <si>
    <t>TRK100128</t>
  </si>
  <si>
    <t>TRK100129</t>
  </si>
  <si>
    <t>TRK100130</t>
  </si>
  <si>
    <t>TRK100131</t>
  </si>
  <si>
    <t>TRK100132</t>
  </si>
  <si>
    <t>TRK100133</t>
  </si>
  <si>
    <t>TRK100134</t>
  </si>
  <si>
    <t>TRK100135</t>
  </si>
  <si>
    <t>TRK100136</t>
  </si>
  <si>
    <t>TRK100137</t>
  </si>
  <si>
    <t>TRK100138</t>
  </si>
  <si>
    <t>TRK100139</t>
  </si>
  <si>
    <t>TRK100140</t>
  </si>
  <si>
    <t>TRK100141</t>
  </si>
  <si>
    <t>TRK100142</t>
  </si>
  <si>
    <t>TRK100143</t>
  </si>
  <si>
    <t>TRK100144</t>
  </si>
  <si>
    <t>TRK100145</t>
  </si>
  <si>
    <t>TRK100146</t>
  </si>
  <si>
    <t>TRK100147</t>
  </si>
  <si>
    <t>TRK100148</t>
  </si>
  <si>
    <t>TRK100149</t>
  </si>
  <si>
    <t>TRK100150</t>
  </si>
  <si>
    <t>TRK100151</t>
  </si>
  <si>
    <t>TRK100152</t>
  </si>
  <si>
    <t>TRK100153</t>
  </si>
  <si>
    <t>TRK100154</t>
  </si>
  <si>
    <t>TRK100155</t>
  </si>
  <si>
    <t>TRK100156</t>
  </si>
  <si>
    <t>TRK100157</t>
  </si>
  <si>
    <t>TRK100158</t>
  </si>
  <si>
    <t>TRK100159</t>
  </si>
  <si>
    <t>TRK100160</t>
  </si>
  <si>
    <t>TRK100161</t>
  </si>
  <si>
    <t>Vendor SLA &amp; Penalty Performance Dashboard</t>
  </si>
  <si>
    <t>TRK100162</t>
  </si>
  <si>
    <t>TRK100163</t>
  </si>
  <si>
    <t>TRK100164</t>
  </si>
  <si>
    <t>TRK100165</t>
  </si>
  <si>
    <t>TRK100166</t>
  </si>
  <si>
    <t>TRK100167</t>
  </si>
  <si>
    <t>TRK100168</t>
  </si>
  <si>
    <t>TRK100169</t>
  </si>
  <si>
    <t>TRK100170</t>
  </si>
  <si>
    <t>TRK100171</t>
  </si>
  <si>
    <t>TRK100172</t>
  </si>
  <si>
    <t>TRK100173</t>
  </si>
  <si>
    <t>TRK100174</t>
  </si>
  <si>
    <t>TRK100175</t>
  </si>
  <si>
    <t>TRK100176</t>
  </si>
  <si>
    <t>TRK100177</t>
  </si>
  <si>
    <t>TRK100178</t>
  </si>
  <si>
    <t>TRK100179</t>
  </si>
  <si>
    <t>TRK100180</t>
  </si>
  <si>
    <t>TRK100181</t>
  </si>
  <si>
    <t>TRK100182</t>
  </si>
  <si>
    <t>TRK100183</t>
  </si>
  <si>
    <t>TRK100184</t>
  </si>
  <si>
    <t>TRK100185</t>
  </si>
  <si>
    <t>TRK100186</t>
  </si>
  <si>
    <t>TRK100187</t>
  </si>
  <si>
    <t>TRK100188</t>
  </si>
  <si>
    <t>TRK100189</t>
  </si>
  <si>
    <t>TRK100190</t>
  </si>
  <si>
    <t>TRK100191</t>
  </si>
  <si>
    <t>TRK100192</t>
  </si>
  <si>
    <t>TRK100193</t>
  </si>
  <si>
    <t>TRK100194</t>
  </si>
  <si>
    <t>TRK100195</t>
  </si>
  <si>
    <t>TRK100196</t>
  </si>
  <si>
    <t>TRK100197</t>
  </si>
  <si>
    <t>TRK100198</t>
  </si>
  <si>
    <t>TRK100199</t>
  </si>
  <si>
    <t>TRK100200</t>
  </si>
  <si>
    <t>TRK100201</t>
  </si>
  <si>
    <t>TRK100202</t>
  </si>
  <si>
    <t>TRK100203</t>
  </si>
  <si>
    <t>TRK100204</t>
  </si>
  <si>
    <t>TRK100205</t>
  </si>
  <si>
    <t>TRK100206</t>
  </si>
  <si>
    <t>TRK100207</t>
  </si>
  <si>
    <t>TRK100208</t>
  </si>
  <si>
    <t>TRK100209</t>
  </si>
  <si>
    <t>TRK100210</t>
  </si>
  <si>
    <t>TRK100211</t>
  </si>
  <si>
    <t>TRK100212</t>
  </si>
  <si>
    <t>TRK100213</t>
  </si>
  <si>
    <t>TRK100214</t>
  </si>
  <si>
    <t>TRK100215</t>
  </si>
  <si>
    <t>TRK100216</t>
  </si>
  <si>
    <t>TRK100217</t>
  </si>
  <si>
    <t>TRK100218</t>
  </si>
  <si>
    <t>TRK100219</t>
  </si>
  <si>
    <t>TRK100220</t>
  </si>
  <si>
    <t>TRK100221</t>
  </si>
  <si>
    <t>TRK100222</t>
  </si>
  <si>
    <t>TRK100223</t>
  </si>
  <si>
    <t>TRK100224</t>
  </si>
  <si>
    <t>TRK100225</t>
  </si>
  <si>
    <t>TRK100226</t>
  </si>
  <si>
    <t>TRK100227</t>
  </si>
  <si>
    <t>TRK100228</t>
  </si>
  <si>
    <t>TRK100229</t>
  </si>
  <si>
    <t>TRK100230</t>
  </si>
  <si>
    <t>TRK100231</t>
  </si>
  <si>
    <t>TRK100232</t>
  </si>
  <si>
    <t>TRK100233</t>
  </si>
  <si>
    <t>TRK100234</t>
  </si>
  <si>
    <t>TRK100235</t>
  </si>
  <si>
    <t>TRK100236</t>
  </si>
  <si>
    <t>TRK100237</t>
  </si>
  <si>
    <t>TRK100238</t>
  </si>
  <si>
    <t>TRK100239</t>
  </si>
  <si>
    <t>TRK100240</t>
  </si>
  <si>
    <t>TRK100241</t>
  </si>
  <si>
    <t>TRK100242</t>
  </si>
  <si>
    <t>TRK100243</t>
  </si>
  <si>
    <t>TRK100244</t>
  </si>
  <si>
    <t>TRK100245</t>
  </si>
  <si>
    <t>TRK100246</t>
  </si>
  <si>
    <t>TRK100247</t>
  </si>
  <si>
    <t>TRK100248</t>
  </si>
  <si>
    <t>TRK100249</t>
  </si>
  <si>
    <t>TRK100250</t>
  </si>
  <si>
    <t>TRK100251</t>
  </si>
  <si>
    <t>TRK100252</t>
  </si>
  <si>
    <t>TRK100253</t>
  </si>
  <si>
    <t>TRK100254</t>
  </si>
  <si>
    <t>TRK100255</t>
  </si>
  <si>
    <t>TRK100256</t>
  </si>
  <si>
    <t>TRK100257</t>
  </si>
  <si>
    <t>TRK100258</t>
  </si>
  <si>
    <t>TRK100259</t>
  </si>
  <si>
    <t>TRK100260</t>
  </si>
  <si>
    <t>TRK100261</t>
  </si>
  <si>
    <t>TRK100262</t>
  </si>
  <si>
    <t>TRK100263</t>
  </si>
  <si>
    <t>TRK100264</t>
  </si>
  <si>
    <t>TRK100265</t>
  </si>
  <si>
    <t>TRK100266</t>
  </si>
  <si>
    <t>TRK100267</t>
  </si>
  <si>
    <t>TRK100268</t>
  </si>
  <si>
    <t>TRK100269</t>
  </si>
  <si>
    <t>TRK100270</t>
  </si>
  <si>
    <t>TRK100271</t>
  </si>
  <si>
    <t>TRK100272</t>
  </si>
  <si>
    <t>TRK100273</t>
  </si>
  <si>
    <t>TRK100274</t>
  </si>
  <si>
    <t>TRK100275</t>
  </si>
  <si>
    <t>TRK100276</t>
  </si>
  <si>
    <t>TRK100277</t>
  </si>
  <si>
    <t>TRK100278</t>
  </si>
  <si>
    <t>TRK100279</t>
  </si>
  <si>
    <t>TRK100280</t>
  </si>
  <si>
    <t>TRK100281</t>
  </si>
  <si>
    <t>TRK100282</t>
  </si>
  <si>
    <t>TRK100283</t>
  </si>
  <si>
    <t>TRK100284</t>
  </si>
  <si>
    <t>TRK100285</t>
  </si>
  <si>
    <t>TRK100286</t>
  </si>
  <si>
    <t>TRK100287</t>
  </si>
  <si>
    <t>TRK100288</t>
  </si>
  <si>
    <t>TRK100289</t>
  </si>
  <si>
    <t>TRK100290</t>
  </si>
  <si>
    <t>TRK100291</t>
  </si>
  <si>
    <t>COUNTA of Tracking_ID</t>
  </si>
  <si>
    <t>TRK100292</t>
  </si>
  <si>
    <t>TRK100293</t>
  </si>
  <si>
    <t>TRK100294</t>
  </si>
  <si>
    <t>ON TIME</t>
  </si>
  <si>
    <t>Pending</t>
  </si>
  <si>
    <t>TRK100295</t>
  </si>
  <si>
    <t>SLA BREACH</t>
  </si>
  <si>
    <t>Grand Total</t>
  </si>
  <si>
    <t>TRK100296</t>
  </si>
  <si>
    <t>TRK100297</t>
  </si>
  <si>
    <t>TRK100298</t>
  </si>
  <si>
    <t>TRK100299</t>
  </si>
  <si>
    <t>TRK100300</t>
  </si>
  <si>
    <t>TRK100301</t>
  </si>
  <si>
    <t>TRK100302</t>
  </si>
  <si>
    <t>TRK100303</t>
  </si>
  <si>
    <t>TRK100304</t>
  </si>
  <si>
    <t>TRK100305</t>
  </si>
  <si>
    <t>TRK100306</t>
  </si>
  <si>
    <t>TRK100307</t>
  </si>
  <si>
    <t>TRK100308</t>
  </si>
  <si>
    <t>TRK100309</t>
  </si>
  <si>
    <t>TRK100310</t>
  </si>
  <si>
    <t>TRK100311</t>
  </si>
  <si>
    <t>TRK100312</t>
  </si>
  <si>
    <t>TRK100313</t>
  </si>
  <si>
    <t>TRK100314</t>
  </si>
  <si>
    <t>TRK100315</t>
  </si>
  <si>
    <t>TRK100316</t>
  </si>
  <si>
    <t>TRK100317</t>
  </si>
  <si>
    <t>TRK100318</t>
  </si>
  <si>
    <t>TRK100319</t>
  </si>
  <si>
    <t>TRK100320</t>
  </si>
  <si>
    <t>TRK100321</t>
  </si>
  <si>
    <t>TRK100322</t>
  </si>
  <si>
    <t>TRK100323</t>
  </si>
  <si>
    <t>TRK100324</t>
  </si>
  <si>
    <t>TRK100325</t>
  </si>
  <si>
    <t>TRK100326</t>
  </si>
  <si>
    <t>TRK100327</t>
  </si>
  <si>
    <t>TRK100328</t>
  </si>
  <si>
    <t>TRK100329</t>
  </si>
  <si>
    <t>TRK100330</t>
  </si>
  <si>
    <t>TRK100331</t>
  </si>
  <si>
    <t>TRK100332</t>
  </si>
  <si>
    <t>TRK100333</t>
  </si>
  <si>
    <t>TRK100334</t>
  </si>
  <si>
    <t>TRK100335</t>
  </si>
  <si>
    <t>TRK100336</t>
  </si>
  <si>
    <t>TRK100337</t>
  </si>
  <si>
    <t>TRK100338</t>
  </si>
  <si>
    <t>TRK100339</t>
  </si>
  <si>
    <t>TRK100340</t>
  </si>
  <si>
    <t>TRK100341</t>
  </si>
  <si>
    <t>TRK100342</t>
  </si>
  <si>
    <t>TRK100343</t>
  </si>
  <si>
    <t>TRK100344</t>
  </si>
  <si>
    <t>TRK100345</t>
  </si>
  <si>
    <t>TRK100346</t>
  </si>
  <si>
    <t>TRK100347</t>
  </si>
  <si>
    <t>TRK100348</t>
  </si>
  <si>
    <t>TRK100349</t>
  </si>
  <si>
    <t>TRK100350</t>
  </si>
  <si>
    <t>TRK100351</t>
  </si>
  <si>
    <t>TRK100352</t>
  </si>
  <si>
    <t>TRK100353</t>
  </si>
  <si>
    <t>TRK100354</t>
  </si>
  <si>
    <t>TRK100355</t>
  </si>
  <si>
    <t>TRK100356</t>
  </si>
  <si>
    <t>TRK100357</t>
  </si>
  <si>
    <t>TRK100358</t>
  </si>
  <si>
    <t>TRK100359</t>
  </si>
  <si>
    <t>TRK100360</t>
  </si>
  <si>
    <t>TRK100361</t>
  </si>
  <si>
    <t>TRK100362</t>
  </si>
  <si>
    <t>TRK100363</t>
  </si>
  <si>
    <t>TRK100364</t>
  </si>
  <si>
    <t>TRK100365</t>
  </si>
  <si>
    <t>TRK100366</t>
  </si>
  <si>
    <t>SUM of Penalty_Claim_INR</t>
  </si>
  <si>
    <t>TRK100367</t>
  </si>
  <si>
    <t>TRK100368</t>
  </si>
  <si>
    <t>TRK100369</t>
  </si>
  <si>
    <t>TRK100370</t>
  </si>
  <si>
    <t>TRK100371</t>
  </si>
  <si>
    <t>TRK100372</t>
  </si>
  <si>
    <t>TRK100373</t>
  </si>
  <si>
    <t>TRK100374</t>
  </si>
  <si>
    <t>TRK100375</t>
  </si>
  <si>
    <t>TRK100376</t>
  </si>
  <si>
    <t>TRK100377</t>
  </si>
  <si>
    <t>TRK100378</t>
  </si>
  <si>
    <t>TRK100379</t>
  </si>
  <si>
    <t>TRK100380</t>
  </si>
  <si>
    <t>TRK100381</t>
  </si>
  <si>
    <t>TRK100382</t>
  </si>
  <si>
    <t>TRK100383</t>
  </si>
  <si>
    <t>TRK100384</t>
  </si>
  <si>
    <t>TRK100385</t>
  </si>
  <si>
    <t>TRK100386</t>
  </si>
  <si>
    <t>TRK100387</t>
  </si>
  <si>
    <t>TRK100388</t>
  </si>
  <si>
    <t>TRK100389</t>
  </si>
  <si>
    <t>TRK100390</t>
  </si>
  <si>
    <t>TRK100391</t>
  </si>
  <si>
    <t>TRK100392</t>
  </si>
  <si>
    <t>TRK100393</t>
  </si>
  <si>
    <t>TRK100394</t>
  </si>
  <si>
    <t>TRK100395</t>
  </si>
  <si>
    <t>TRK100396</t>
  </si>
  <si>
    <t>TRK100397</t>
  </si>
  <si>
    <t>TRK100398</t>
  </si>
  <si>
    <t>TRK100399</t>
  </si>
  <si>
    <t>TRK100400</t>
  </si>
  <si>
    <t>TRK100401</t>
  </si>
  <si>
    <t>TRK100402</t>
  </si>
  <si>
    <t>TRK100403</t>
  </si>
  <si>
    <t>TRK100404</t>
  </si>
  <si>
    <t>TRK100405</t>
  </si>
  <si>
    <t>TRK100406</t>
  </si>
  <si>
    <t>TRK100407</t>
  </si>
  <si>
    <t>TRK100408</t>
  </si>
  <si>
    <t>TRK100409</t>
  </si>
  <si>
    <t>TRK100410</t>
  </si>
  <si>
    <t>TRK100411</t>
  </si>
  <si>
    <t>TRK100412</t>
  </si>
  <si>
    <t>TRK100413</t>
  </si>
  <si>
    <t>TRK100414</t>
  </si>
  <si>
    <t>TRK100415</t>
  </si>
  <si>
    <t>TRK100416</t>
  </si>
  <si>
    <t>TRK100417</t>
  </si>
  <si>
    <t>TRK100418</t>
  </si>
  <si>
    <t>TRK100419</t>
  </si>
  <si>
    <t>TRK100420</t>
  </si>
  <si>
    <t>TRK100421</t>
  </si>
  <si>
    <t>TRK100422</t>
  </si>
  <si>
    <t>TRK100423</t>
  </si>
  <si>
    <t>TRK100424</t>
  </si>
  <si>
    <t>TRK100425</t>
  </si>
  <si>
    <t>TRK100426</t>
  </si>
  <si>
    <t>TRK100427</t>
  </si>
  <si>
    <t>TRK100428</t>
  </si>
  <si>
    <t>TRK100429</t>
  </si>
  <si>
    <t>TRK100430</t>
  </si>
  <si>
    <t>TRK100431</t>
  </si>
  <si>
    <t>TRK100432</t>
  </si>
  <si>
    <t>TRK100433</t>
  </si>
  <si>
    <t>TRK100434</t>
  </si>
  <si>
    <t>TRK100435</t>
  </si>
  <si>
    <t>TRK100436</t>
  </si>
  <si>
    <t>TRK100437</t>
  </si>
  <si>
    <t>TRK100438</t>
  </si>
  <si>
    <t>TRK100439</t>
  </si>
  <si>
    <t>TRK100440</t>
  </si>
  <si>
    <t>TRK100441</t>
  </si>
  <si>
    <t>TRK100442</t>
  </si>
  <si>
    <t>TRK100443</t>
  </si>
  <si>
    <t>TRK100444</t>
  </si>
  <si>
    <t>TRK100445</t>
  </si>
  <si>
    <t>TRK100446</t>
  </si>
  <si>
    <t>TRK100447</t>
  </si>
  <si>
    <t>TRK100448</t>
  </si>
  <si>
    <t>TRK100449</t>
  </si>
  <si>
    <t>TRK100450</t>
  </si>
  <si>
    <t>TRK100451</t>
  </si>
  <si>
    <t>TRK100452</t>
  </si>
  <si>
    <t>TRK100453</t>
  </si>
  <si>
    <t>TRK100454</t>
  </si>
  <si>
    <t>TRK100455</t>
  </si>
  <si>
    <t>TRK100456</t>
  </si>
  <si>
    <t>TRK100457</t>
  </si>
  <si>
    <t>TRK100458</t>
  </si>
  <si>
    <t>TRK100459</t>
  </si>
  <si>
    <t>TRK100460</t>
  </si>
  <si>
    <t>TRK100461</t>
  </si>
  <si>
    <t>TRK100462</t>
  </si>
  <si>
    <t>TRK100463</t>
  </si>
  <si>
    <t>TRK100464</t>
  </si>
  <si>
    <t>TRK100465</t>
  </si>
  <si>
    <t>TRK100466</t>
  </si>
  <si>
    <t>TRK100467</t>
  </si>
  <si>
    <t>TRK100468</t>
  </si>
  <si>
    <t>TRK100469</t>
  </si>
  <si>
    <t>TRK100470</t>
  </si>
  <si>
    <t>TRK100471</t>
  </si>
  <si>
    <t>TRK100472</t>
  </si>
  <si>
    <t>TRK100473</t>
  </si>
  <si>
    <t>TRK100474</t>
  </si>
  <si>
    <t>TRK100475</t>
  </si>
  <si>
    <t>TRK100476</t>
  </si>
  <si>
    <t>TRK100477</t>
  </si>
  <si>
    <t>TRK100478</t>
  </si>
  <si>
    <t>TRK100479</t>
  </si>
  <si>
    <t>TRK100480</t>
  </si>
  <si>
    <t>TRK100481</t>
  </si>
  <si>
    <t>TRK100482</t>
  </si>
  <si>
    <t>TRK100483</t>
  </si>
  <si>
    <t>TRK100484</t>
  </si>
  <si>
    <t>TRK100485</t>
  </si>
  <si>
    <t>TRK100486</t>
  </si>
  <si>
    <t>TRK100487</t>
  </si>
  <si>
    <t>TRK100488</t>
  </si>
  <si>
    <t>TRK100489</t>
  </si>
  <si>
    <t>TRK100490</t>
  </si>
  <si>
    <t>TRK100491</t>
  </si>
  <si>
    <t>TRK100492</t>
  </si>
  <si>
    <t>TRK100493</t>
  </si>
  <si>
    <t>TRK100494</t>
  </si>
  <si>
    <t>TRK100495</t>
  </si>
  <si>
    <t>TRK100496</t>
  </si>
  <si>
    <t>TRK100497</t>
  </si>
  <si>
    <t>TRK100498</t>
  </si>
  <si>
    <t>TRK100499</t>
  </si>
  <si>
    <t>TRK100500</t>
  </si>
  <si>
    <t>TRK100501</t>
  </si>
  <si>
    <t>TRK100502</t>
  </si>
  <si>
    <t>TRK100503</t>
  </si>
  <si>
    <t>TRK100504</t>
  </si>
  <si>
    <t>TRK100505</t>
  </si>
  <si>
    <t>TRK100506</t>
  </si>
  <si>
    <t>TRK100507</t>
  </si>
  <si>
    <t>TRK100508</t>
  </si>
  <si>
    <t>TRK100509</t>
  </si>
  <si>
    <t>TRK100510</t>
  </si>
  <si>
    <t>TRK100511</t>
  </si>
  <si>
    <t>TRK100512</t>
  </si>
  <si>
    <t>TRK100513</t>
  </si>
  <si>
    <t>TRK100514</t>
  </si>
  <si>
    <t>TRK100515</t>
  </si>
  <si>
    <t>TRK100516</t>
  </si>
  <si>
    <t>TRK100517</t>
  </si>
  <si>
    <t>TRK100518</t>
  </si>
  <si>
    <t>TRK100519</t>
  </si>
  <si>
    <t>TRK100520</t>
  </si>
  <si>
    <t>TRK100521</t>
  </si>
  <si>
    <t>TRK100522</t>
  </si>
  <si>
    <t>TRK100523</t>
  </si>
  <si>
    <t>TRK100524</t>
  </si>
  <si>
    <t>TRK100525</t>
  </si>
  <si>
    <t>TRK100526</t>
  </si>
  <si>
    <t>TRK100527</t>
  </si>
  <si>
    <t>TRK100528</t>
  </si>
  <si>
    <t>TRK100529</t>
  </si>
  <si>
    <t>TRK100530</t>
  </si>
  <si>
    <t>TRK100531</t>
  </si>
  <si>
    <t>TRK100532</t>
  </si>
  <si>
    <t>TRK100533</t>
  </si>
  <si>
    <t>TRK100534</t>
  </si>
  <si>
    <t>TRK100535</t>
  </si>
  <si>
    <t>TRK100536</t>
  </si>
  <si>
    <t>TRK100537</t>
  </si>
  <si>
    <t>TRK100538</t>
  </si>
  <si>
    <t>TRK100539</t>
  </si>
  <si>
    <t>TRK100540</t>
  </si>
  <si>
    <t>TRK100541</t>
  </si>
  <si>
    <t>TRK100542</t>
  </si>
  <si>
    <t>TRK100543</t>
  </si>
  <si>
    <t>TRK100544</t>
  </si>
  <si>
    <t>TRK100545</t>
  </si>
  <si>
    <t>TRK100546</t>
  </si>
  <si>
    <t>TRK100547</t>
  </si>
  <si>
    <t>TRK100548</t>
  </si>
  <si>
    <t>TRK100549</t>
  </si>
  <si>
    <t>TRK100550</t>
  </si>
  <si>
    <t>TRK100551</t>
  </si>
  <si>
    <t>TRK100552</t>
  </si>
  <si>
    <t>TRK100553</t>
  </si>
  <si>
    <t>TRK100554</t>
  </si>
  <si>
    <t>TRK100555</t>
  </si>
  <si>
    <t>TRK100556</t>
  </si>
  <si>
    <t>TRK100557</t>
  </si>
  <si>
    <t>TRK100558</t>
  </si>
  <si>
    <t>TRK100559</t>
  </si>
  <si>
    <t>TRK100560</t>
  </si>
  <si>
    <t>TRK100561</t>
  </si>
  <si>
    <t>TRK100562</t>
  </si>
  <si>
    <t>TRK100563</t>
  </si>
  <si>
    <t>TRK100564</t>
  </si>
  <si>
    <t>TRK100565</t>
  </si>
  <si>
    <t>TRK100566</t>
  </si>
  <si>
    <t>TRK100567</t>
  </si>
  <si>
    <t>TRK100568</t>
  </si>
  <si>
    <t>TRK100569</t>
  </si>
  <si>
    <t>TRK100570</t>
  </si>
  <si>
    <t>TRK100571</t>
  </si>
  <si>
    <t>TRK100572</t>
  </si>
  <si>
    <t>TRK100573</t>
  </si>
  <si>
    <t>TRK100574</t>
  </si>
  <si>
    <t>TRK100575</t>
  </si>
  <si>
    <t>TRK100576</t>
  </si>
  <si>
    <t>TRK100577</t>
  </si>
  <si>
    <t>TRK100578</t>
  </si>
  <si>
    <t>TRK100579</t>
  </si>
  <si>
    <t>TRK100580</t>
  </si>
  <si>
    <t>TRK100581</t>
  </si>
  <si>
    <t>TRK100582</t>
  </si>
  <si>
    <t>TRK100583</t>
  </si>
  <si>
    <t>TRK100584</t>
  </si>
  <si>
    <t>TRK100585</t>
  </si>
  <si>
    <t>TRK100586</t>
  </si>
  <si>
    <t>TRK100587</t>
  </si>
  <si>
    <t>TRK100588</t>
  </si>
  <si>
    <t>TRK100589</t>
  </si>
  <si>
    <t>TRK100590</t>
  </si>
  <si>
    <t>TRK100591</t>
  </si>
  <si>
    <t>TRK100592</t>
  </si>
  <si>
    <t>TRK100593</t>
  </si>
  <si>
    <t>TRK100594</t>
  </si>
  <si>
    <t>TRK100595</t>
  </si>
  <si>
    <t>TRK100596</t>
  </si>
  <si>
    <t>TRK100597</t>
  </si>
  <si>
    <t>TRK100598</t>
  </si>
  <si>
    <t>TRK100599</t>
  </si>
  <si>
    <t>TRK100600</t>
  </si>
  <si>
    <t>TRK100601</t>
  </si>
  <si>
    <t>TRK100602</t>
  </si>
  <si>
    <t>TRK100603</t>
  </si>
  <si>
    <t>TRK100604</t>
  </si>
  <si>
    <t>TRK100605</t>
  </si>
  <si>
    <t>TRK100606</t>
  </si>
  <si>
    <t>TRK100607</t>
  </si>
  <si>
    <t>TRK100608</t>
  </si>
  <si>
    <t>TRK100609</t>
  </si>
  <si>
    <t>TRK100610</t>
  </si>
  <si>
    <t>TRK100611</t>
  </si>
  <si>
    <t>TRK100612</t>
  </si>
  <si>
    <t>TRK100613</t>
  </si>
  <si>
    <t>TRK100614</t>
  </si>
  <si>
    <t>TRK100615</t>
  </si>
  <si>
    <t>TRK100616</t>
  </si>
  <si>
    <t>TRK100617</t>
  </si>
  <si>
    <t>TRK100618</t>
  </si>
  <si>
    <t>TRK100619</t>
  </si>
  <si>
    <t>TRK100620</t>
  </si>
  <si>
    <t>TRK100621</t>
  </si>
  <si>
    <t>TRK100622</t>
  </si>
  <si>
    <t>TRK100623</t>
  </si>
  <si>
    <t>TRK100624</t>
  </si>
  <si>
    <t>TRK100625</t>
  </si>
  <si>
    <t>TRK100626</t>
  </si>
  <si>
    <t>TRK100627</t>
  </si>
  <si>
    <t>TRK100628</t>
  </si>
  <si>
    <t>TRK100629</t>
  </si>
  <si>
    <t>TRK100630</t>
  </si>
  <si>
    <t>TRK100631</t>
  </si>
  <si>
    <t>TRK100632</t>
  </si>
  <si>
    <t>TRK100633</t>
  </si>
  <si>
    <t>TRK100634</t>
  </si>
  <si>
    <t>TRK100635</t>
  </si>
  <si>
    <t>TRK100636</t>
  </si>
  <si>
    <t>TRK100637</t>
  </si>
  <si>
    <t>TRK100638</t>
  </si>
  <si>
    <t>TRK100639</t>
  </si>
  <si>
    <t>TRK100640</t>
  </si>
  <si>
    <t>TRK100641</t>
  </si>
  <si>
    <t>TRK100642</t>
  </si>
  <si>
    <t>TRK100643</t>
  </si>
  <si>
    <t>TRK100644</t>
  </si>
  <si>
    <t>TRK100645</t>
  </si>
  <si>
    <t>TRK100646</t>
  </si>
  <si>
    <t>TRK100647</t>
  </si>
  <si>
    <t>TRK100648</t>
  </si>
  <si>
    <t>TRK100649</t>
  </si>
  <si>
    <t>TRK100650</t>
  </si>
  <si>
    <t>TRK100651</t>
  </si>
  <si>
    <t>TRK100652</t>
  </si>
  <si>
    <t>TRK100653</t>
  </si>
  <si>
    <t>TRK100654</t>
  </si>
  <si>
    <t>TRK100655</t>
  </si>
  <si>
    <t>TRK100656</t>
  </si>
  <si>
    <t>TRK100657</t>
  </si>
  <si>
    <t>TRK100658</t>
  </si>
  <si>
    <t>TRK100659</t>
  </si>
  <si>
    <t>TRK100660</t>
  </si>
  <si>
    <t>TRK100661</t>
  </si>
  <si>
    <t>TRK100662</t>
  </si>
  <si>
    <t>TRK100663</t>
  </si>
  <si>
    <t>TRK100664</t>
  </si>
  <si>
    <t>TRK100665</t>
  </si>
  <si>
    <t>TRK100666</t>
  </si>
  <si>
    <t>TRK100667</t>
  </si>
  <si>
    <t>TRK100668</t>
  </si>
  <si>
    <t>TRK100669</t>
  </si>
  <si>
    <t>TRK100670</t>
  </si>
  <si>
    <t>TRK100671</t>
  </si>
  <si>
    <t>TRK100672</t>
  </si>
  <si>
    <t>TRK100673</t>
  </si>
  <si>
    <t>TRK100674</t>
  </si>
  <si>
    <t>TRK100675</t>
  </si>
  <si>
    <t>TRK100676</t>
  </si>
  <si>
    <t>TRK100677</t>
  </si>
  <si>
    <t>TRK100678</t>
  </si>
  <si>
    <t>TRK100679</t>
  </si>
  <si>
    <t>TRK100680</t>
  </si>
  <si>
    <t>TRK100681</t>
  </si>
  <si>
    <t>TRK100682</t>
  </si>
  <si>
    <t>TRK100683</t>
  </si>
  <si>
    <t>TRK100684</t>
  </si>
  <si>
    <t>TRK100685</t>
  </si>
  <si>
    <t>TRK100686</t>
  </si>
  <si>
    <t>TRK100687</t>
  </si>
  <si>
    <t>TRK100688</t>
  </si>
  <si>
    <t>TRK100689</t>
  </si>
  <si>
    <t>TRK100690</t>
  </si>
  <si>
    <t>TRK100691</t>
  </si>
  <si>
    <t>TRK100692</t>
  </si>
  <si>
    <t>TRK100693</t>
  </si>
  <si>
    <t>TRK100694</t>
  </si>
  <si>
    <t>TRK100695</t>
  </si>
  <si>
    <t>TRK100696</t>
  </si>
  <si>
    <t>TRK100697</t>
  </si>
  <si>
    <t>TRK100698</t>
  </si>
  <si>
    <t>TRK100699</t>
  </si>
  <si>
    <t>TRK100700</t>
  </si>
  <si>
    <t>TRK100701</t>
  </si>
  <si>
    <t>TRK100702</t>
  </si>
  <si>
    <t>TRK100703</t>
  </si>
  <si>
    <t>TRK100704</t>
  </si>
  <si>
    <t>TRK100705</t>
  </si>
  <si>
    <t>TRK100706</t>
  </si>
  <si>
    <t>TRK100707</t>
  </si>
  <si>
    <t>TRK100708</t>
  </si>
  <si>
    <t>TRK100709</t>
  </si>
  <si>
    <t>TRK100710</t>
  </si>
  <si>
    <t>TRK100711</t>
  </si>
  <si>
    <t>TRK100712</t>
  </si>
  <si>
    <t>TRK100713</t>
  </si>
  <si>
    <t>TRK100714</t>
  </si>
  <si>
    <t>TRK100715</t>
  </si>
  <si>
    <t>TRK100716</t>
  </si>
  <si>
    <t>TRK100717</t>
  </si>
  <si>
    <t>TRK100718</t>
  </si>
  <si>
    <t>TRK100719</t>
  </si>
  <si>
    <t>TRK100720</t>
  </si>
  <si>
    <t>TRK100721</t>
  </si>
  <si>
    <t>TRK100722</t>
  </si>
  <si>
    <t>TRK100723</t>
  </si>
  <si>
    <t>TRK100724</t>
  </si>
  <si>
    <t>TRK100725</t>
  </si>
  <si>
    <t>TRK100726</t>
  </si>
  <si>
    <t>TRK100727</t>
  </si>
  <si>
    <t>TRK100728</t>
  </si>
  <si>
    <t>TRK100729</t>
  </si>
  <si>
    <t>TRK100730</t>
  </si>
  <si>
    <t>TRK100731</t>
  </si>
  <si>
    <t>TRK100732</t>
  </si>
  <si>
    <t>TRK100733</t>
  </si>
  <si>
    <t>TRK100734</t>
  </si>
  <si>
    <t>TRK100735</t>
  </si>
  <si>
    <t>TRK100736</t>
  </si>
  <si>
    <t>TRK100737</t>
  </si>
  <si>
    <t>TRK100738</t>
  </si>
  <si>
    <t>TRK100739</t>
  </si>
  <si>
    <t>TRK100740</t>
  </si>
  <si>
    <t>TRK100741</t>
  </si>
  <si>
    <t>TRK100742</t>
  </si>
  <si>
    <t>TRK100743</t>
  </si>
  <si>
    <t>TRK100744</t>
  </si>
  <si>
    <t>TRK100745</t>
  </si>
  <si>
    <t>TRK100746</t>
  </si>
  <si>
    <t>TRK100747</t>
  </si>
  <si>
    <t>TRK100748</t>
  </si>
  <si>
    <t>TRK100749</t>
  </si>
  <si>
    <t>TRK100750</t>
  </si>
  <si>
    <t>TRK100751</t>
  </si>
  <si>
    <t>TRK100752</t>
  </si>
  <si>
    <t>TRK100753</t>
  </si>
  <si>
    <t>TRK100754</t>
  </si>
  <si>
    <t>TRK100755</t>
  </si>
  <si>
    <t>TRK100756</t>
  </si>
  <si>
    <t>TRK100757</t>
  </si>
  <si>
    <t>TRK100758</t>
  </si>
  <si>
    <t>TRK100759</t>
  </si>
  <si>
    <t>TRK100760</t>
  </si>
  <si>
    <t>TRK100761</t>
  </si>
  <si>
    <t>TRK100762</t>
  </si>
  <si>
    <t>TRK100763</t>
  </si>
  <si>
    <t>TRK100764</t>
  </si>
  <si>
    <t>TRK100765</t>
  </si>
  <si>
    <t>TRK100766</t>
  </si>
  <si>
    <t>TRK100767</t>
  </si>
  <si>
    <t>TRK100768</t>
  </si>
  <si>
    <t>TRK100769</t>
  </si>
  <si>
    <t>TRK100770</t>
  </si>
  <si>
    <t>TRK100771</t>
  </si>
  <si>
    <t>TRK100772</t>
  </si>
  <si>
    <t>TRK100773</t>
  </si>
  <si>
    <t>TRK100774</t>
  </si>
  <si>
    <t>TRK100775</t>
  </si>
  <si>
    <t>TRK100776</t>
  </si>
  <si>
    <t>TRK100777</t>
  </si>
  <si>
    <t>TRK100778</t>
  </si>
  <si>
    <t>TRK100779</t>
  </si>
  <si>
    <t>TRK100780</t>
  </si>
  <si>
    <t>TRK100781</t>
  </si>
  <si>
    <t>TRK100782</t>
  </si>
  <si>
    <t>TRK100783</t>
  </si>
  <si>
    <t>TRK100784</t>
  </si>
  <si>
    <t>TRK100785</t>
  </si>
  <si>
    <t>TRK100786</t>
  </si>
  <si>
    <t>TRK100787</t>
  </si>
  <si>
    <t>TRK100788</t>
  </si>
  <si>
    <t>TRK100789</t>
  </si>
  <si>
    <t>TRK100790</t>
  </si>
  <si>
    <t>TRK100791</t>
  </si>
  <si>
    <t>TRK100792</t>
  </si>
  <si>
    <t>TRK100793</t>
  </si>
  <si>
    <t>TRK100794</t>
  </si>
  <si>
    <t>TRK100795</t>
  </si>
  <si>
    <t>TRK100796</t>
  </si>
  <si>
    <t>TRK100797</t>
  </si>
  <si>
    <t>TRK100798</t>
  </si>
  <si>
    <t>TRK100799</t>
  </si>
  <si>
    <t>TRK100800</t>
  </si>
  <si>
    <t>TRK100801</t>
  </si>
  <si>
    <t>TRK100802</t>
  </si>
  <si>
    <t>TRK100803</t>
  </si>
  <si>
    <t>TRK100804</t>
  </si>
  <si>
    <t>TRK100805</t>
  </si>
  <si>
    <t>TRK100806</t>
  </si>
  <si>
    <t>TRK100807</t>
  </si>
  <si>
    <t>TRK100808</t>
  </si>
  <si>
    <t>TRK100809</t>
  </si>
  <si>
    <t>TRK100810</t>
  </si>
  <si>
    <t>TRK100811</t>
  </si>
  <si>
    <t>TRK100812</t>
  </si>
  <si>
    <t>TRK100813</t>
  </si>
  <si>
    <t>TRK100814</t>
  </si>
  <si>
    <t>TRK100815</t>
  </si>
  <si>
    <t>TRK100816</t>
  </si>
  <si>
    <t>TRK100817</t>
  </si>
  <si>
    <t>TRK100818</t>
  </si>
  <si>
    <t>TRK100819</t>
  </si>
  <si>
    <t>TRK100820</t>
  </si>
  <si>
    <t>TRK100821</t>
  </si>
  <si>
    <t>TRK100822</t>
  </si>
  <si>
    <t>TRK100823</t>
  </si>
  <si>
    <t>TRK100824</t>
  </si>
  <si>
    <t>TRK100825</t>
  </si>
  <si>
    <t>TRK100826</t>
  </si>
  <si>
    <t>TRK100827</t>
  </si>
  <si>
    <t>TRK100828</t>
  </si>
  <si>
    <t>TRK100829</t>
  </si>
  <si>
    <t>TRK100830</t>
  </si>
  <si>
    <t>TRK100831</t>
  </si>
  <si>
    <t>TRK100832</t>
  </si>
  <si>
    <t>TRK100833</t>
  </si>
  <si>
    <t>TRK100834</t>
  </si>
  <si>
    <t>TRK100835</t>
  </si>
  <si>
    <t>TRK100836</t>
  </si>
  <si>
    <t>TRK100837</t>
  </si>
  <si>
    <t>TRK100838</t>
  </si>
  <si>
    <t>TRK100839</t>
  </si>
  <si>
    <t>TRK100840</t>
  </si>
  <si>
    <t>TRK100841</t>
  </si>
  <si>
    <t>TRK100842</t>
  </si>
  <si>
    <t>TRK100843</t>
  </si>
  <si>
    <t>TRK100844</t>
  </si>
  <si>
    <t>TRK100845</t>
  </si>
  <si>
    <t>TRK100846</t>
  </si>
  <si>
    <t>TRK100847</t>
  </si>
  <si>
    <t>TRK100848</t>
  </si>
  <si>
    <t>TRK100849</t>
  </si>
  <si>
    <t>TRK100850</t>
  </si>
  <si>
    <t>TRK100851</t>
  </si>
  <si>
    <t>TRK100852</t>
  </si>
  <si>
    <t>TRK100853</t>
  </si>
  <si>
    <t>TRK100854</t>
  </si>
  <si>
    <t>TRK100855</t>
  </si>
  <si>
    <t>TRK100856</t>
  </si>
  <si>
    <t>TRK100857</t>
  </si>
  <si>
    <t>TRK100858</t>
  </si>
  <si>
    <t>TRK100859</t>
  </si>
  <si>
    <t>TRK100860</t>
  </si>
  <si>
    <t>TRK100861</t>
  </si>
  <si>
    <t>TRK100862</t>
  </si>
  <si>
    <t>TRK100863</t>
  </si>
  <si>
    <t>TRK100864</t>
  </si>
  <si>
    <t>TRK100865</t>
  </si>
  <si>
    <t>TRK100866</t>
  </si>
  <si>
    <t>TRK100867</t>
  </si>
  <si>
    <t>TRK100868</t>
  </si>
  <si>
    <t>TRK100869</t>
  </si>
  <si>
    <t>TRK100870</t>
  </si>
  <si>
    <t>TRK100871</t>
  </si>
  <si>
    <t>TRK100872</t>
  </si>
  <si>
    <t>TRK100873</t>
  </si>
  <si>
    <t>TRK100874</t>
  </si>
  <si>
    <t>TRK100875</t>
  </si>
  <si>
    <t>TRK100876</t>
  </si>
  <si>
    <t>TRK100877</t>
  </si>
  <si>
    <t>TRK100878</t>
  </si>
  <si>
    <t>TRK100879</t>
  </si>
  <si>
    <t>TRK100880</t>
  </si>
  <si>
    <t>TRK100881</t>
  </si>
  <si>
    <t>TRK100882</t>
  </si>
  <si>
    <t>TRK100883</t>
  </si>
  <si>
    <t>TRK100884</t>
  </si>
  <si>
    <t>TRK100885</t>
  </si>
  <si>
    <t>TRK100886</t>
  </si>
  <si>
    <t>TRK100887</t>
  </si>
  <si>
    <t>TRK100888</t>
  </si>
  <si>
    <t>TRK100889</t>
  </si>
  <si>
    <t>TRK100890</t>
  </si>
  <si>
    <t>TRK100891</t>
  </si>
  <si>
    <t>TRK100892</t>
  </si>
  <si>
    <t>TRK100893</t>
  </si>
  <si>
    <t>TRK100894</t>
  </si>
  <si>
    <t>TRK100895</t>
  </si>
  <si>
    <t>TRK100896</t>
  </si>
  <si>
    <t>TRK100897</t>
  </si>
  <si>
    <t>TRK100898</t>
  </si>
  <si>
    <t>TRK100899</t>
  </si>
  <si>
    <t>TRK100900</t>
  </si>
  <si>
    <t>TRK100901</t>
  </si>
  <si>
    <t>TRK100902</t>
  </si>
  <si>
    <t>TRK100903</t>
  </si>
  <si>
    <t>TRK100904</t>
  </si>
  <si>
    <t>TRK100905</t>
  </si>
  <si>
    <t>TRK100906</t>
  </si>
  <si>
    <t>TRK100907</t>
  </si>
  <si>
    <t>TRK100908</t>
  </si>
  <si>
    <t>TRK100909</t>
  </si>
  <si>
    <t>TRK100910</t>
  </si>
  <si>
    <t>TRK100911</t>
  </si>
  <si>
    <t>TRK100912</t>
  </si>
  <si>
    <t>TRK100913</t>
  </si>
  <si>
    <t>TRK100914</t>
  </si>
  <si>
    <t>TRK100915</t>
  </si>
  <si>
    <t>TRK100916</t>
  </si>
  <si>
    <t>TRK100917</t>
  </si>
  <si>
    <t>TRK100918</t>
  </si>
  <si>
    <t>TRK100919</t>
  </si>
  <si>
    <t>TRK100920</t>
  </si>
  <si>
    <t>TRK100921</t>
  </si>
  <si>
    <t>TRK100922</t>
  </si>
  <si>
    <t>TRK100923</t>
  </si>
  <si>
    <t>TRK100924</t>
  </si>
  <si>
    <t>TRK100925</t>
  </si>
  <si>
    <t>TRK100926</t>
  </si>
  <si>
    <t>TRK100927</t>
  </si>
  <si>
    <t>TRK100928</t>
  </si>
  <si>
    <t>TRK100929</t>
  </si>
  <si>
    <t>TRK100930</t>
  </si>
  <si>
    <t>TRK100931</t>
  </si>
  <si>
    <t>TRK100932</t>
  </si>
  <si>
    <t>TRK100933</t>
  </si>
  <si>
    <t>TRK100934</t>
  </si>
  <si>
    <t>TRK100935</t>
  </si>
  <si>
    <t>TRK100936</t>
  </si>
  <si>
    <t>TRK100937</t>
  </si>
  <si>
    <t>TRK100938</t>
  </si>
  <si>
    <t>TRK100939</t>
  </si>
  <si>
    <t>TRK100940</t>
  </si>
  <si>
    <t>TRK100941</t>
  </si>
  <si>
    <t>TRK100942</t>
  </si>
  <si>
    <t>TRK100943</t>
  </si>
  <si>
    <t>TRK100944</t>
  </si>
  <si>
    <t>TRK100945</t>
  </si>
  <si>
    <t>TRK100946</t>
  </si>
  <si>
    <t>TRK100947</t>
  </si>
  <si>
    <t>TRK100948</t>
  </si>
  <si>
    <t>TRK100949</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</si>
</sst>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dd/MM/yyyy"/>
    <numFmt numFmtId="165" formatCode="yyyy-mm-dd"/>
    <numFmt numFmtId="166" formatCode="dd/mm/yyyy"/>
    <numFmt numFmtId="167" formatCode="[$₹]#,##0.00"/>
  </numFmts>
  <fonts count="3">
    <font>
      <sz val="10.0"/>
      <color rgb="FF000000"/>
      <name val="Arial"/>
      <scheme val="minor"/>
    </font>
    <font>
      <color theme="1"/>
      <name val="Arial"/>
      <scheme val="minor"/>
    </font>
    <font>
      <b/>
      <sz val="14.0"/>
      <color theme="1"/>
      <name val="Arial"/>
      <scheme val="minor"/>
    </font>
  </fonts>
  <fills count="3">
    <fill>
      <patternFill patternType="none"/>
    </fill>
    <fill>
      <patternFill patternType="lightGray"/>
    </fill>
    <fill>
      <patternFill patternType="solid">
        <fgColor rgb="FFB7B7B7"/>
        <bgColor rgb="FFB7B7B7"/>
      </patternFill>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readingOrder="0"/>
    </xf>
    <xf borderId="0" fillId="0" fontId="1" numFmtId="165" xfId="0" applyAlignment="1" applyFont="1" applyNumberFormat="1">
      <alignment readingOrder="0"/>
    </xf>
    <xf borderId="0" fillId="0" fontId="1" numFmtId="166" xfId="0" applyAlignment="1" applyFont="1" applyNumberFormat="1">
      <alignment readingOrder="0"/>
    </xf>
    <xf borderId="0" fillId="0" fontId="1" numFmtId="164" xfId="0" applyAlignment="1" applyFont="1" applyNumberFormat="1">
      <alignment readingOrder="0"/>
    </xf>
    <xf borderId="0" fillId="0" fontId="1" numFmtId="0" xfId="0" applyFont="1"/>
    <xf borderId="0" fillId="0" fontId="1" numFmtId="164" xfId="0" applyFont="1" applyNumberFormat="1"/>
    <xf borderId="0" fillId="2" fontId="2" numFmtId="0" xfId="0" applyAlignment="1" applyFill="1" applyFont="1">
      <alignment readingOrder="0"/>
    </xf>
    <xf borderId="0" fillId="0" fontId="1" numFmtId="10" xfId="0" applyFont="1" applyNumberFormat="1"/>
    <xf borderId="0" fillId="0" fontId="1" numFmtId="167" xfId="0" applyFont="1" applyNumberFormat="1"/>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microsoft.com/office/2007/relationships/slicerCache" Target="slicerCaches/slicerCache1.xml"/><Relationship Id="rId9" Type="http://schemas.openxmlformats.org/officeDocument/2006/relationships/pivotCacheDefinition" Target="pivotCache/pivotCacheDefinition1.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962025</xdr:colOff>
      <xdr:row>0</xdr:row>
      <xdr:rowOff>0</xdr:rowOff>
    </xdr:from>
    <xdr:ext cx="2857500" cy="2857500"/>
    <mc:AlternateContent>
      <mc:Choice Requires="sle15">
        <xdr:graphicFrame>
          <xdr:nvGraphicFramePr>
            <xdr:cNvPr id="1" name="Destination_Zone_1"/>
            <xdr:cNvGraphicFramePr/>
          </xdr:nvGraphicFramePr>
          <xdr:xfrm>
            <a:off x="0" y="0"/>
            <a:ext cx="0" cy="0"/>
          </xdr:xfrm>
          <a:graphic>
            <a:graphicData uri="http://schemas.microsoft.com/office/drawing/2010/slicer">
              <x3Unk:slicer name="Destination_Zone_1"/>
            </a:graphicData>
          </a:graphic>
        </xdr:graphicFrame>
      </mc:Choice>
      <mc:Fallback>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J1001" sheet="Cleaned_Data"/>
  </cacheSource>
  <cacheFields>
    <cacheField name="Tracking_ID" numFmtId="0">
      <sharedItems>
        <s v="TRK100000"/>
        <s v="TRK100001"/>
        <s v="TRK100002"/>
        <s v="TRK100003"/>
        <s v="TRK100004"/>
        <s v="TRK100005"/>
        <s v="TRK100006"/>
        <s v="TRK100007"/>
        <s v="TRK100008"/>
        <s v="TRK100009"/>
        <s v="TRK100010"/>
        <s v="TRK100011"/>
        <s v="TRK100012"/>
        <s v="TRK100013"/>
        <s v="TRK100014"/>
        <s v="TRK100015"/>
        <s v="TRK100016"/>
        <s v="TRK100017"/>
        <s v="TRK100018"/>
        <s v="TRK100019"/>
        <s v="TRK100020"/>
        <s v="TRK100021"/>
        <s v="TRK100022"/>
        <s v="TRK100023"/>
        <s v="TRK100024"/>
        <s v="TRK100025"/>
        <s v="TRK100026"/>
        <s v="TRK100027"/>
        <s v="TRK100028"/>
        <s v="TRK100029"/>
        <s v="TRK100030"/>
        <s v="TRK100031"/>
        <s v="TRK100032"/>
        <s v="TRK100033"/>
        <s v="TRK100034"/>
        <s v="TRK100035"/>
        <s v="TRK100036"/>
        <s v="TRK100037"/>
        <s v="TRK100038"/>
        <s v="TRK100039"/>
        <s v="TRK100040"/>
        <s v="TRK100041"/>
        <s v="TRK100042"/>
        <s v="TRK100043"/>
        <s v="TRK100044"/>
        <s v="TRK100045"/>
        <s v="TRK100046"/>
        <s v="TRK100047"/>
        <s v="TRK100048"/>
        <s v="TRK100049"/>
        <s v="TRK100050"/>
        <s v="TRK100051"/>
        <s v="TRK100052"/>
        <s v="TRK100053"/>
        <s v="TRK100054"/>
        <s v="TRK100055"/>
        <s v="TRK100056"/>
        <s v="TRK100057"/>
        <s v="TRK100058"/>
        <s v="TRK100059"/>
        <s v="TRK100060"/>
        <s v="TRK100061"/>
        <s v="TRK100062"/>
        <s v="TRK100063"/>
        <s v="TRK100064"/>
        <s v="TRK100065"/>
        <s v="TRK100066"/>
        <s v="TRK100067"/>
        <s v="TRK100068"/>
        <s v="TRK100069"/>
        <s v="TRK100070"/>
        <s v="TRK100071"/>
        <s v="TRK100072"/>
        <s v="TRK100073"/>
        <s v="TRK100074"/>
        <s v="TRK100075"/>
        <s v="TRK100076"/>
        <s v="TRK100077"/>
        <s v="TRK100078"/>
        <s v="TRK100079"/>
        <s v="TRK100080"/>
        <s v="TRK100081"/>
        <s v="TRK100082"/>
        <s v="TRK100083"/>
        <s v="TRK100084"/>
        <s v="TRK100085"/>
        <s v="TRK100086"/>
        <s v="TRK100087"/>
        <s v="TRK100088"/>
        <s v="TRK100089"/>
        <s v="TRK100090"/>
        <s v="TRK100091"/>
        <s v="TRK100092"/>
        <s v="TRK100093"/>
        <s v="TRK100094"/>
        <s v="TRK100095"/>
        <s v="TRK100096"/>
        <s v="TRK100097"/>
        <s v="TRK100098"/>
        <s v="TRK100099"/>
        <s v="TRK100100"/>
        <s v="TRK100101"/>
        <s v="TRK100102"/>
        <s v="TRK100103"/>
        <s v="TRK100104"/>
        <s v="TRK100105"/>
        <s v="TRK100106"/>
        <s v="TRK100107"/>
        <s v="TRK100108"/>
        <s v="TRK100109"/>
        <s v="TRK100110"/>
        <s v="TRK100111"/>
        <s v="TRK100112"/>
        <s v="TRK100113"/>
        <s v="TRK100114"/>
        <s v="TRK100115"/>
        <s v="TRK100116"/>
        <s v="TRK100117"/>
        <s v="TRK100118"/>
        <s v="TRK100119"/>
        <s v="TRK100120"/>
        <s v="TRK100121"/>
        <s v="TRK100122"/>
        <s v="TRK100123"/>
        <s v="TRK100124"/>
        <s v="TRK100125"/>
        <s v="TRK100126"/>
        <s v="TRK100127"/>
        <s v="TRK100128"/>
        <s v="TRK100129"/>
        <s v="TRK100130"/>
        <s v="TRK100131"/>
        <s v="TRK100132"/>
        <s v="TRK100133"/>
        <s v="TRK100134"/>
        <s v="TRK100135"/>
        <s v="TRK100136"/>
        <s v="TRK100137"/>
        <s v="TRK100138"/>
        <s v="TRK100139"/>
        <s v="TRK100140"/>
        <s v="TRK100141"/>
        <s v="TRK100142"/>
        <s v="TRK100143"/>
        <s v="TRK100144"/>
        <s v="TRK100145"/>
        <s v="TRK100146"/>
        <s v="TRK100147"/>
        <s v="TRK100148"/>
        <s v="TRK100149"/>
        <s v="TRK100150"/>
        <s v="TRK100151"/>
        <s v="TRK100152"/>
        <s v="TRK100153"/>
        <s v="TRK100154"/>
        <s v="TRK100155"/>
        <s v="TRK100156"/>
        <s v="TRK100157"/>
        <s v="TRK100158"/>
        <s v="TRK100159"/>
        <s v="TRK100160"/>
        <s v="TRK100161"/>
        <s v="TRK100162"/>
        <s v="TRK100163"/>
        <s v="TRK100164"/>
        <s v="TRK100165"/>
        <s v="TRK100166"/>
        <s v="TRK100167"/>
        <s v="TRK100168"/>
        <s v="TRK100169"/>
        <s v="TRK100170"/>
        <s v="TRK100171"/>
        <s v="TRK100172"/>
        <s v="TRK100173"/>
        <s v="TRK100174"/>
        <s v="TRK100175"/>
        <s v="TRK100176"/>
        <s v="TRK100177"/>
        <s v="TRK100178"/>
        <s v="TRK100179"/>
        <s v="TRK100180"/>
        <s v="TRK100181"/>
        <s v="TRK100182"/>
        <s v="TRK100183"/>
        <s v="TRK100184"/>
        <s v="TRK100185"/>
        <s v="TRK100186"/>
        <s v="TRK100187"/>
        <s v="TRK100188"/>
        <s v="TRK100189"/>
        <s v="TRK100190"/>
        <s v="TRK100191"/>
        <s v="TRK100192"/>
        <s v="TRK100193"/>
        <s v="TRK100194"/>
        <s v="TRK100195"/>
        <s v="TRK100196"/>
        <s v="TRK100197"/>
        <s v="TRK100198"/>
        <s v="TRK100199"/>
        <s v="TRK100200"/>
        <s v="TRK100201"/>
        <s v="TRK100202"/>
        <s v="TRK100203"/>
        <s v="TRK100204"/>
        <s v="TRK100205"/>
        <s v="TRK100206"/>
        <s v="TRK100207"/>
        <s v="TRK100208"/>
        <s v="TRK100209"/>
        <s v="TRK100210"/>
        <s v="TRK100211"/>
        <s v="TRK100212"/>
        <s v="TRK100213"/>
        <s v="TRK100214"/>
        <s v="TRK100215"/>
        <s v="TRK100216"/>
        <s v="TRK100217"/>
        <s v="TRK100218"/>
        <s v="TRK100219"/>
        <s v="TRK100220"/>
        <s v="TRK100221"/>
        <s v="TRK100222"/>
        <s v="TRK100223"/>
        <s v="TRK100224"/>
        <s v="TRK100225"/>
        <s v="TRK100226"/>
        <s v="TRK100227"/>
        <s v="TRK100228"/>
        <s v="TRK100229"/>
        <s v="TRK100230"/>
        <s v="TRK100231"/>
        <s v="TRK100232"/>
        <s v="TRK100233"/>
        <s v="TRK100234"/>
        <s v="TRK100235"/>
        <s v="TRK100236"/>
        <s v="TRK100237"/>
        <s v="TRK100238"/>
        <s v="TRK100239"/>
        <s v="TRK100240"/>
        <s v="TRK100241"/>
        <s v="TRK100242"/>
        <s v="TRK100243"/>
        <s v="TRK100244"/>
        <s v="TRK100245"/>
        <s v="TRK100246"/>
        <s v="TRK100247"/>
        <s v="TRK100248"/>
        <s v="TRK100249"/>
        <s v="TRK100250"/>
        <s v="TRK100251"/>
        <s v="TRK100252"/>
        <s v="TRK100253"/>
        <s v="TRK100254"/>
        <s v="TRK100255"/>
        <s v="TRK100256"/>
        <s v="TRK100257"/>
        <s v="TRK100258"/>
        <s v="TRK100259"/>
        <s v="TRK100260"/>
        <s v="TRK100261"/>
        <s v="TRK100262"/>
        <s v="TRK100263"/>
        <s v="TRK100264"/>
        <s v="TRK100265"/>
        <s v="TRK100266"/>
        <s v="TRK100267"/>
        <s v="TRK100268"/>
        <s v="TRK100269"/>
        <s v="TRK100270"/>
        <s v="TRK100271"/>
        <s v="TRK100272"/>
        <s v="TRK100273"/>
        <s v="TRK100274"/>
        <s v="TRK100275"/>
        <s v="TRK100276"/>
        <s v="TRK100277"/>
        <s v="TRK100278"/>
        <s v="TRK100279"/>
        <s v="TRK100280"/>
        <s v="TRK100281"/>
        <s v="TRK100282"/>
        <s v="TRK100283"/>
        <s v="TRK100284"/>
        <s v="TRK100285"/>
        <s v="TRK100286"/>
        <s v="TRK100287"/>
        <s v="TRK100288"/>
        <s v="TRK100289"/>
        <s v="TRK100290"/>
        <s v="TRK100291"/>
        <s v="TRK100292"/>
        <s v="TRK100293"/>
        <s v="TRK100294"/>
        <s v="TRK100295"/>
        <s v="TRK100296"/>
        <s v="TRK100297"/>
        <s v="TRK100298"/>
        <s v="TRK100299"/>
        <s v="TRK100300"/>
        <s v="TRK100301"/>
        <s v="TRK100302"/>
        <s v="TRK100303"/>
        <s v="TRK100304"/>
        <s v="TRK100305"/>
        <s v="TRK100306"/>
        <s v="TRK100307"/>
        <s v="TRK100308"/>
        <s v="TRK100309"/>
        <s v="TRK100310"/>
        <s v="TRK100311"/>
        <s v="TRK100312"/>
        <s v="TRK100313"/>
        <s v="TRK100314"/>
        <s v="TRK100315"/>
        <s v="TRK100316"/>
        <s v="TRK100317"/>
        <s v="TRK100318"/>
        <s v="TRK100319"/>
        <s v="TRK100320"/>
        <s v="TRK100321"/>
        <s v="TRK100322"/>
        <s v="TRK100323"/>
        <s v="TRK100324"/>
        <s v="TRK100325"/>
        <s v="TRK100326"/>
        <s v="TRK100327"/>
        <s v="TRK100328"/>
        <s v="TRK100329"/>
        <s v="TRK100330"/>
        <s v="TRK100331"/>
        <s v="TRK100332"/>
        <s v="TRK100333"/>
        <s v="TRK100334"/>
        <s v="TRK100335"/>
        <s v="TRK100336"/>
        <s v="TRK100337"/>
        <s v="TRK100338"/>
        <s v="TRK100339"/>
        <s v="TRK100340"/>
        <s v="TRK100341"/>
        <s v="TRK100342"/>
        <s v="TRK100343"/>
        <s v="TRK100344"/>
        <s v="TRK100345"/>
        <s v="TRK100346"/>
        <s v="TRK100347"/>
        <s v="TRK100348"/>
        <s v="TRK100349"/>
        <s v="TRK100350"/>
        <s v="TRK100351"/>
        <s v="TRK100352"/>
        <s v="TRK100353"/>
        <s v="TRK100354"/>
        <s v="TRK100355"/>
        <s v="TRK100356"/>
        <s v="TRK100357"/>
        <s v="TRK100358"/>
        <s v="TRK100359"/>
        <s v="TRK100360"/>
        <s v="TRK100361"/>
        <s v="TRK100362"/>
        <s v="TRK100363"/>
        <s v="TRK100364"/>
        <s v="TRK100365"/>
        <s v="TRK100366"/>
        <s v="TRK100367"/>
        <s v="TRK100368"/>
        <s v="TRK100369"/>
        <s v="TRK100370"/>
        <s v="TRK100371"/>
        <s v="TRK100372"/>
        <s v="TRK100373"/>
        <s v="TRK100374"/>
        <s v="TRK100375"/>
        <s v="TRK100376"/>
        <s v="TRK100377"/>
        <s v="TRK100378"/>
        <s v="TRK100379"/>
        <s v="TRK100380"/>
        <s v="TRK100381"/>
        <s v="TRK100382"/>
        <s v="TRK100383"/>
        <s v="TRK100384"/>
        <s v="TRK100385"/>
        <s v="TRK100386"/>
        <s v="TRK100387"/>
        <s v="TRK100388"/>
        <s v="TRK100389"/>
        <s v="TRK100390"/>
        <s v="TRK100391"/>
        <s v="TRK100392"/>
        <s v="TRK100393"/>
        <s v="TRK100394"/>
        <s v="TRK100395"/>
        <s v="TRK100396"/>
        <s v="TRK100397"/>
        <s v="TRK100398"/>
        <s v="TRK100399"/>
        <s v="TRK100400"/>
        <s v="TRK100401"/>
        <s v="TRK100402"/>
        <s v="TRK100403"/>
        <s v="TRK100404"/>
        <s v="TRK100405"/>
        <s v="TRK100406"/>
        <s v="TRK100407"/>
        <s v="TRK100408"/>
        <s v="TRK100409"/>
        <s v="TRK100410"/>
        <s v="TRK100411"/>
        <s v="TRK100412"/>
        <s v="TRK100413"/>
        <s v="TRK100414"/>
        <s v="TRK100415"/>
        <s v="TRK100416"/>
        <s v="TRK100417"/>
        <s v="TRK100418"/>
        <s v="TRK100419"/>
        <s v="TRK100420"/>
        <s v="TRK100421"/>
        <s v="TRK100422"/>
        <s v="TRK100423"/>
        <s v="TRK100424"/>
        <s v="TRK100425"/>
        <s v="TRK100426"/>
        <s v="TRK100427"/>
        <s v="TRK100428"/>
        <s v="TRK100429"/>
        <s v="TRK100430"/>
        <s v="TRK100431"/>
        <s v="TRK100432"/>
        <s v="TRK100433"/>
        <s v="TRK100434"/>
        <s v="TRK100435"/>
        <s v="TRK100436"/>
        <s v="TRK100437"/>
        <s v="TRK100438"/>
        <s v="TRK100439"/>
        <s v="TRK100440"/>
        <s v="TRK100441"/>
        <s v="TRK100442"/>
        <s v="TRK100443"/>
        <s v="TRK100444"/>
        <s v="TRK100445"/>
        <s v="TRK100446"/>
        <s v="TRK100447"/>
        <s v="TRK100448"/>
        <s v="TRK100449"/>
        <s v="TRK100450"/>
        <s v="TRK100451"/>
        <s v="TRK100452"/>
        <s v="TRK100453"/>
        <s v="TRK100454"/>
        <s v="TRK100455"/>
        <s v="TRK100456"/>
        <s v="TRK100457"/>
        <s v="TRK100458"/>
        <s v="TRK100459"/>
        <s v="TRK100460"/>
        <s v="TRK100461"/>
        <s v="TRK100462"/>
        <s v="TRK100463"/>
        <s v="TRK100464"/>
        <s v="TRK100465"/>
        <s v="TRK100466"/>
        <s v="TRK100467"/>
        <s v="TRK100468"/>
        <s v="TRK100469"/>
        <s v="TRK100470"/>
        <s v="TRK100471"/>
        <s v="TRK100472"/>
        <s v="TRK100473"/>
        <s v="TRK100474"/>
        <s v="TRK100475"/>
        <s v="TRK100476"/>
        <s v="TRK100477"/>
        <s v="TRK100478"/>
        <s v="TRK100479"/>
        <s v="TRK100480"/>
        <s v="TRK100481"/>
        <s v="TRK100482"/>
        <s v="TRK100483"/>
        <s v="TRK100484"/>
        <s v="TRK100485"/>
        <s v="TRK100486"/>
        <s v="TRK100487"/>
        <s v="TRK100488"/>
        <s v="TRK100489"/>
        <s v="TRK100490"/>
        <s v="TRK100491"/>
        <s v="TRK100492"/>
        <s v="TRK100493"/>
        <s v="TRK100494"/>
        <s v="TRK100495"/>
        <s v="TRK100496"/>
        <s v="TRK100497"/>
        <s v="TRK100498"/>
        <s v="TRK100499"/>
        <s v="TRK100500"/>
        <s v="TRK100501"/>
        <s v="TRK100502"/>
        <s v="TRK100503"/>
        <s v="TRK100504"/>
        <s v="TRK100505"/>
        <s v="TRK100506"/>
        <s v="TRK100507"/>
        <s v="TRK100508"/>
        <s v="TRK100509"/>
        <s v="TRK100510"/>
        <s v="TRK100511"/>
        <s v="TRK100512"/>
        <s v="TRK100513"/>
        <s v="TRK100514"/>
        <s v="TRK100515"/>
        <s v="TRK100516"/>
        <s v="TRK100517"/>
        <s v="TRK100518"/>
        <s v="TRK100519"/>
        <s v="TRK100520"/>
        <s v="TRK100521"/>
        <s v="TRK100522"/>
        <s v="TRK100523"/>
        <s v="TRK100524"/>
        <s v="TRK100525"/>
        <s v="TRK100526"/>
        <s v="TRK100527"/>
        <s v="TRK100528"/>
        <s v="TRK100529"/>
        <s v="TRK100530"/>
        <s v="TRK100531"/>
        <s v="TRK100532"/>
        <s v="TRK100533"/>
        <s v="TRK100534"/>
        <s v="TRK100535"/>
        <s v="TRK100536"/>
        <s v="TRK100537"/>
        <s v="TRK100538"/>
        <s v="TRK100539"/>
        <s v="TRK100540"/>
        <s v="TRK100541"/>
        <s v="TRK100542"/>
        <s v="TRK100543"/>
        <s v="TRK100544"/>
        <s v="TRK100545"/>
        <s v="TRK100546"/>
        <s v="TRK100547"/>
        <s v="TRK100548"/>
        <s v="TRK100549"/>
        <s v="TRK100550"/>
        <s v="TRK100551"/>
        <s v="TRK100552"/>
        <s v="TRK100553"/>
        <s v="TRK100554"/>
        <s v="TRK100555"/>
        <s v="TRK100556"/>
        <s v="TRK100557"/>
        <s v="TRK100558"/>
        <s v="TRK100559"/>
        <s v="TRK100560"/>
        <s v="TRK100561"/>
        <s v="TRK100562"/>
        <s v="TRK100563"/>
        <s v="TRK100564"/>
        <s v="TRK100565"/>
        <s v="TRK100566"/>
        <s v="TRK100567"/>
        <s v="TRK100568"/>
        <s v="TRK100569"/>
        <s v="TRK100570"/>
        <s v="TRK100571"/>
        <s v="TRK100572"/>
        <s v="TRK100573"/>
        <s v="TRK100574"/>
        <s v="TRK100575"/>
        <s v="TRK100576"/>
        <s v="TRK100577"/>
        <s v="TRK100578"/>
        <s v="TRK100579"/>
        <s v="TRK100580"/>
        <s v="TRK100581"/>
        <s v="TRK100582"/>
        <s v="TRK100583"/>
        <s v="TRK100584"/>
        <s v="TRK100585"/>
        <s v="TRK100586"/>
        <s v="TRK100587"/>
        <s v="TRK100588"/>
        <s v="TRK100589"/>
        <s v="TRK100590"/>
        <s v="TRK100591"/>
        <s v="TRK100592"/>
        <s v="TRK100593"/>
        <s v="TRK100594"/>
        <s v="TRK100595"/>
        <s v="TRK100596"/>
        <s v="TRK100597"/>
        <s v="TRK100598"/>
        <s v="TRK100599"/>
        <s v="TRK100600"/>
        <s v="TRK100601"/>
        <s v="TRK100602"/>
        <s v="TRK100603"/>
        <s v="TRK100604"/>
        <s v="TRK100605"/>
        <s v="TRK100606"/>
        <s v="TRK100607"/>
        <s v="TRK100608"/>
        <s v="TRK100609"/>
        <s v="TRK100610"/>
        <s v="TRK100611"/>
        <s v="TRK100612"/>
        <s v="TRK100613"/>
        <s v="TRK100614"/>
        <s v="TRK100615"/>
        <s v="TRK100616"/>
        <s v="TRK100617"/>
        <s v="TRK100618"/>
        <s v="TRK100619"/>
        <s v="TRK100620"/>
        <s v="TRK100621"/>
        <s v="TRK100622"/>
        <s v="TRK100623"/>
        <s v="TRK100624"/>
        <s v="TRK100625"/>
        <s v="TRK100626"/>
        <s v="TRK100627"/>
        <s v="TRK100628"/>
        <s v="TRK100629"/>
        <s v="TRK100630"/>
        <s v="TRK100631"/>
        <s v="TRK100632"/>
        <s v="TRK100633"/>
        <s v="TRK100634"/>
        <s v="TRK100635"/>
        <s v="TRK100636"/>
        <s v="TRK100637"/>
        <s v="TRK100638"/>
        <s v="TRK100639"/>
        <s v="TRK100640"/>
        <s v="TRK100641"/>
        <s v="TRK100642"/>
        <s v="TRK100643"/>
        <s v="TRK100644"/>
        <s v="TRK100645"/>
        <s v="TRK100646"/>
        <s v="TRK100647"/>
        <s v="TRK100648"/>
        <s v="TRK100649"/>
        <s v="TRK100650"/>
        <s v="TRK100651"/>
        <s v="TRK100652"/>
        <s v="TRK100653"/>
        <s v="TRK100654"/>
        <s v="TRK100655"/>
        <s v="TRK100656"/>
        <s v="TRK100657"/>
        <s v="TRK100658"/>
        <s v="TRK100659"/>
        <s v="TRK100660"/>
        <s v="TRK100661"/>
        <s v="TRK100662"/>
        <s v="TRK100663"/>
        <s v="TRK100664"/>
        <s v="TRK100665"/>
        <s v="TRK100666"/>
        <s v="TRK100667"/>
        <s v="TRK100668"/>
        <s v="TRK100669"/>
        <s v="TRK100670"/>
        <s v="TRK100671"/>
        <s v="TRK100672"/>
        <s v="TRK100673"/>
        <s v="TRK100674"/>
        <s v="TRK100675"/>
        <s v="TRK100676"/>
        <s v="TRK100677"/>
        <s v="TRK100678"/>
        <s v="TRK100679"/>
        <s v="TRK100680"/>
        <s v="TRK100681"/>
        <s v="TRK100682"/>
        <s v="TRK100683"/>
        <s v="TRK100684"/>
        <s v="TRK100685"/>
        <s v="TRK100686"/>
        <s v="TRK100687"/>
        <s v="TRK100688"/>
        <s v="TRK100689"/>
        <s v="TRK100690"/>
        <s v="TRK100691"/>
        <s v="TRK100692"/>
        <s v="TRK100693"/>
        <s v="TRK100694"/>
        <s v="TRK100695"/>
        <s v="TRK100696"/>
        <s v="TRK100697"/>
        <s v="TRK100698"/>
        <s v="TRK100699"/>
        <s v="TRK100700"/>
        <s v="TRK100701"/>
        <s v="TRK100702"/>
        <s v="TRK100703"/>
        <s v="TRK100704"/>
        <s v="TRK100705"/>
        <s v="TRK100706"/>
        <s v="TRK100707"/>
        <s v="TRK100708"/>
        <s v="TRK100709"/>
        <s v="TRK100710"/>
        <s v="TRK100711"/>
        <s v="TRK100712"/>
        <s v="TRK100713"/>
        <s v="TRK100714"/>
        <s v="TRK100715"/>
        <s v="TRK100716"/>
        <s v="TRK100717"/>
        <s v="TRK100718"/>
        <s v="TRK100719"/>
        <s v="TRK100720"/>
        <s v="TRK100721"/>
        <s v="TRK100722"/>
        <s v="TRK100723"/>
        <s v="TRK100724"/>
        <s v="TRK100725"/>
        <s v="TRK100726"/>
        <s v="TRK100727"/>
        <s v="TRK100728"/>
        <s v="TRK100729"/>
        <s v="TRK100730"/>
        <s v="TRK100731"/>
        <s v="TRK100732"/>
        <s v="TRK100733"/>
        <s v="TRK100734"/>
        <s v="TRK100735"/>
        <s v="TRK100736"/>
        <s v="TRK100737"/>
        <s v="TRK100738"/>
        <s v="TRK100739"/>
        <s v="TRK100740"/>
        <s v="TRK100741"/>
        <s v="TRK100742"/>
        <s v="TRK100743"/>
        <s v="TRK100744"/>
        <s v="TRK100745"/>
        <s v="TRK100746"/>
        <s v="TRK100747"/>
        <s v="TRK100748"/>
        <s v="TRK100749"/>
        <s v="TRK100750"/>
        <s v="TRK100751"/>
        <s v="TRK100752"/>
        <s v="TRK100753"/>
        <s v="TRK100754"/>
        <s v="TRK100755"/>
        <s v="TRK100756"/>
        <s v="TRK100757"/>
        <s v="TRK100758"/>
        <s v="TRK100759"/>
        <s v="TRK100760"/>
        <s v="TRK100761"/>
        <s v="TRK100762"/>
        <s v="TRK100763"/>
        <s v="TRK100764"/>
        <s v="TRK100765"/>
        <s v="TRK100766"/>
        <s v="TRK100767"/>
        <s v="TRK100768"/>
        <s v="TRK100769"/>
        <s v="TRK100770"/>
        <s v="TRK100771"/>
        <s v="TRK100772"/>
        <s v="TRK100773"/>
        <s v="TRK100774"/>
        <s v="TRK100775"/>
        <s v="TRK100776"/>
        <s v="TRK100777"/>
        <s v="TRK100778"/>
        <s v="TRK100779"/>
        <s v="TRK100780"/>
        <s v="TRK100781"/>
        <s v="TRK100782"/>
        <s v="TRK100783"/>
        <s v="TRK100784"/>
        <s v="TRK100785"/>
        <s v="TRK100786"/>
        <s v="TRK100787"/>
        <s v="TRK100788"/>
        <s v="TRK100789"/>
        <s v="TRK100790"/>
        <s v="TRK100791"/>
        <s v="TRK100792"/>
        <s v="TRK100793"/>
        <s v="TRK100794"/>
        <s v="TRK100795"/>
        <s v="TRK100796"/>
        <s v="TRK100797"/>
        <s v="TRK100798"/>
        <s v="TRK100799"/>
        <s v="TRK100800"/>
        <s v="TRK100801"/>
        <s v="TRK100802"/>
        <s v="TRK100803"/>
        <s v="TRK100804"/>
        <s v="TRK100805"/>
        <s v="TRK100806"/>
        <s v="TRK100807"/>
        <s v="TRK100808"/>
        <s v="TRK100809"/>
        <s v="TRK100810"/>
        <s v="TRK100811"/>
        <s v="TRK100812"/>
        <s v="TRK100813"/>
        <s v="TRK100814"/>
        <s v="TRK100815"/>
        <s v="TRK100816"/>
        <s v="TRK100817"/>
        <s v="TRK100818"/>
        <s v="TRK100819"/>
        <s v="TRK100820"/>
        <s v="TRK100821"/>
        <s v="TRK100822"/>
        <s v="TRK100823"/>
        <s v="TRK100824"/>
        <s v="TRK100825"/>
        <s v="TRK100826"/>
        <s v="TRK100827"/>
        <s v="TRK100828"/>
        <s v="TRK100829"/>
        <s v="TRK100830"/>
        <s v="TRK100831"/>
        <s v="TRK100832"/>
        <s v="TRK100833"/>
        <s v="TRK100834"/>
        <s v="TRK100835"/>
        <s v="TRK100836"/>
        <s v="TRK100837"/>
        <s v="TRK100838"/>
        <s v="TRK100839"/>
        <s v="TRK100840"/>
        <s v="TRK100841"/>
        <s v="TRK100842"/>
        <s v="TRK100843"/>
        <s v="TRK100844"/>
        <s v="TRK100845"/>
        <s v="TRK100846"/>
        <s v="TRK100847"/>
        <s v="TRK100848"/>
        <s v="TRK100849"/>
        <s v="TRK100850"/>
        <s v="TRK100851"/>
        <s v="TRK100852"/>
        <s v="TRK100853"/>
        <s v="TRK100854"/>
        <s v="TRK100855"/>
        <s v="TRK100856"/>
        <s v="TRK100857"/>
        <s v="TRK100858"/>
        <s v="TRK100859"/>
        <s v="TRK100860"/>
        <s v="TRK100861"/>
        <s v="TRK100862"/>
        <s v="TRK100863"/>
        <s v="TRK100864"/>
        <s v="TRK100865"/>
        <s v="TRK100866"/>
        <s v="TRK100867"/>
        <s v="TRK100868"/>
        <s v="TRK100869"/>
        <s v="TRK100870"/>
        <s v="TRK100871"/>
        <s v="TRK100872"/>
        <s v="TRK100873"/>
        <s v="TRK100874"/>
        <s v="TRK100875"/>
        <s v="TRK100876"/>
        <s v="TRK100877"/>
        <s v="TRK100878"/>
        <s v="TRK100879"/>
        <s v="TRK100880"/>
        <s v="TRK100881"/>
        <s v="TRK100882"/>
        <s v="TRK100883"/>
        <s v="TRK100884"/>
        <s v="TRK100885"/>
        <s v="TRK100886"/>
        <s v="TRK100887"/>
        <s v="TRK100888"/>
        <s v="TRK100889"/>
        <s v="TRK100890"/>
        <s v="TRK100891"/>
        <s v="TRK100892"/>
        <s v="TRK100893"/>
        <s v="TRK100894"/>
        <s v="TRK100895"/>
        <s v="TRK100896"/>
        <s v="TRK100897"/>
        <s v="TRK100898"/>
        <s v="TRK100899"/>
        <s v="TRK100900"/>
        <s v="TRK100901"/>
        <s v="TRK100902"/>
        <s v="TRK100903"/>
        <s v="TRK100904"/>
        <s v="TRK100905"/>
        <s v="TRK100906"/>
        <s v="TRK100907"/>
        <s v="TRK100908"/>
        <s v="TRK100909"/>
        <s v="TRK100910"/>
        <s v="TRK100911"/>
        <s v="TRK100912"/>
        <s v="TRK100913"/>
        <s v="TRK100914"/>
        <s v="TRK100915"/>
        <s v="TRK100916"/>
        <s v="TRK100917"/>
        <s v="TRK100918"/>
        <s v="TRK100919"/>
        <s v="TRK100920"/>
        <s v="TRK100921"/>
        <s v="TRK100922"/>
        <s v="TRK100923"/>
        <s v="TRK100924"/>
        <s v="TRK100925"/>
        <s v="TRK100926"/>
        <s v="TRK100927"/>
        <s v="TRK100928"/>
        <s v="TRK100929"/>
        <s v="TRK100930"/>
        <s v="TRK100931"/>
        <s v="TRK100932"/>
        <s v="TRK100933"/>
        <s v="TRK100934"/>
        <s v="TRK100935"/>
        <s v="TRK100936"/>
        <s v="TRK100937"/>
        <s v="TRK100938"/>
        <s v="TRK100939"/>
        <s v="TRK100940"/>
        <s v="TRK100941"/>
        <s v="TRK100942"/>
        <s v="TRK100943"/>
        <s v="TRK100944"/>
        <s v="TRK100945"/>
        <s v="TRK100946"/>
        <s v="TRK100947"/>
        <s v="TRK100948"/>
        <s v="TRK100949"/>
      </sharedItems>
    </cacheField>
    <cacheField name="Vendor_Name" numFmtId="0">
      <sharedItems>
        <s v="EcomExpress"/>
        <s v="Delhivery"/>
        <s v="BlueDart"/>
      </sharedItems>
    </cacheField>
    <cacheField name="Destination_Zone" numFmtId="0">
      <sharedItems>
        <s v="Tier 3"/>
        <s v="Tier 2"/>
        <s v="Metro"/>
      </sharedItems>
    </cacheField>
    <cacheField name="Dispatch_Date" numFmtId="164">
      <sharedItems containsSemiMixedTypes="0" containsDate="1" containsString="0">
        <d v="2026-02-05T00:00:00Z"/>
        <d v="2026-02-15T00:00:00Z"/>
        <d v="2026-02-24T00:00:00Z"/>
        <d v="2026-01-19T00:00:00Z"/>
        <d v="2026-02-18T00:00:00Z"/>
        <d v="2026-01-18T00:00:00Z"/>
        <d v="2026-02-27T00:00:00Z"/>
        <d v="2026-01-10T00:00:00Z"/>
        <d v="2026-01-06T00:00:00Z"/>
        <d v="2026-02-22T00:00:00Z"/>
        <d v="2026-02-26T00:00:00Z"/>
        <d v="2026-03-01T00:00:00Z"/>
        <d v="2026-01-27T00:00:00Z"/>
        <d v="2026-01-26T00:00:00Z"/>
        <d v="2026-01-24T00:00:00Z"/>
        <d v="2026-01-25T00:00:00Z"/>
        <d v="2026-01-02T00:00:00Z"/>
        <d v="2026-02-23T00:00:00Z"/>
        <d v="2026-02-11T00:00:00Z"/>
        <d v="2026-02-20T00:00:00Z"/>
        <d v="2026-01-09T00:00:00Z"/>
        <d v="2026-02-14T00:00:00Z"/>
        <d v="2026-01-31T00:00:00Z"/>
        <d v="2026-02-09T00:00:00Z"/>
        <d v="2026-01-14T00:00:00Z"/>
        <d v="2026-02-08T00:00:00Z"/>
        <d v="2026-01-28T00:00:00Z"/>
        <d v="2026-02-19T00:00:00Z"/>
        <d v="2026-01-16T00:00:00Z"/>
        <d v="2026-01-08T00:00:00Z"/>
        <d v="2026-02-10T00:00:00Z"/>
        <d v="2026-01-05T00:00:00Z"/>
        <d v="2026-02-02T00:00:00Z"/>
        <d v="2026-02-12T00:00:00Z"/>
        <d v="2026-02-03T00:00:00Z"/>
        <d v="2026-02-25T00:00:00Z"/>
        <d v="2026-01-03T00:00:00Z"/>
        <d v="2026-01-17T00:00:00Z"/>
        <d v="2026-01-23T00:00:00Z"/>
        <d v="2026-02-16T00:00:00Z"/>
        <d v="2026-02-17T00:00:00Z"/>
        <d v="2026-01-22T00:00:00Z"/>
        <d v="2026-02-04T00:00:00Z"/>
        <d v="2026-01-12T00:00:00Z"/>
        <d v="2026-02-13T00:00:00Z"/>
        <d v="2026-02-21T00:00:00Z"/>
        <d v="2026-01-13T00:00:00Z"/>
        <d v="2026-01-21T00:00:00Z"/>
        <d v="2026-01-04T00:00:00Z"/>
        <d v="2026-02-01T00:00:00Z"/>
        <d v="2026-01-20T00:00:00Z"/>
        <d v="2026-03-02T00:00:00Z"/>
        <d v="2026-01-29T00:00:00Z"/>
        <d v="2026-02-06T00:00:00Z"/>
        <d v="2026-02-28T00:00:00Z"/>
        <d v="2026-01-30T00:00:00Z"/>
        <d v="2026-02-07T00:00:00Z"/>
        <d v="2026-01-11T00:00:00Z"/>
        <d v="2026-01-15T00:00:00Z"/>
        <d v="2026-01-07T00:00:00Z"/>
        <d v="2026-01-01T00:00:00Z"/>
      </sharedItems>
    </cacheField>
    <cacheField name="Delivery_Date">
      <sharedItems containsDate="1" containsMixedTypes="1">
        <d v="2026-02-11T00:00:00Z"/>
        <d v="2026-02-22T00:00:00Z"/>
        <d v="2026-02-27T00:00:00Z"/>
        <d v="2026-01-25T00:00:00Z"/>
        <d v="2026-02-20T00:00:00Z"/>
        <d v="2026-01-22T00:00:00Z"/>
        <d v="2026-03-05T00:00:00Z"/>
        <d v="2026-01-18T00:00:00Z"/>
        <d v="2026-01-12T00:00:00Z"/>
        <d v="2026-02-25T00:00:00Z"/>
        <d v="2026-03-02T00:00:00Z"/>
        <d v="2026-03-06T00:00:00Z"/>
        <d v="2026-02-04T00:00:00Z"/>
        <d v="2026-01-28T00:00:00Z"/>
        <d v="2026-01-30T00:00:00Z"/>
        <d v="2026-01-27T00:00:00Z"/>
        <d v="2026-01-04T00:00:00Z"/>
        <d v="2026-03-03T00:00:00Z"/>
        <s v=""/>
        <d v="2026-02-13T00:00:00Z"/>
        <d v="2026-02-24T00:00:00Z"/>
        <d v="2026-01-15T00:00:00Z"/>
        <d v="2026-02-23T00:00:00Z"/>
        <d v="2026-01-08T00:00:00Z"/>
        <d v="2026-02-12T00:00:00Z"/>
        <d v="2026-02-28T00:00:00Z"/>
        <d v="2026-01-23T00:00:00Z"/>
        <d v="2026-01-20T00:00:00Z"/>
        <d v="2026-02-15T00:00:00Z"/>
        <d v="2026-01-07T00:00:00Z"/>
        <d v="2026-02-14T00:00:00Z"/>
        <d v="2026-02-05T00:00:00Z"/>
        <d v="2026-02-19T00:00:00Z"/>
        <d v="2026-01-11T00:00:00Z"/>
        <d v="2026-02-01T00:00:00Z"/>
        <d v="2026-02-07T00:00:00Z"/>
        <d v="2026-03-01T00:00:00Z"/>
        <d v="2026-01-09T00:00:00Z"/>
        <d v="2026-01-31T00:00:00Z"/>
        <d v="2026-01-21T00:00:00Z"/>
        <d v="2026-02-16T00:00:00Z"/>
        <d v="2026-02-08T00:00:00Z"/>
        <d v="2026-02-26T00:00:00Z"/>
        <d v="2026-01-17T00:00:00Z"/>
        <d v="2026-02-17T00:00:00Z"/>
        <d v="2026-02-02T00:00:00Z"/>
        <d v="2026-03-04T00:00:00Z"/>
        <d v="2026-02-21T00:00:00Z"/>
        <d v="2026-01-24T00:00:00Z"/>
        <d v="2026-02-03T00:00:00Z"/>
        <d v="2026-02-09T00:00:00Z"/>
        <d v="2026-01-10T00:00:00Z"/>
        <d v="2026-02-06T00:00:00Z"/>
        <d v="2026-01-26T00:00:00Z"/>
        <d v="2026-01-05T00:00:00Z"/>
        <d v="2026-03-08T00:00:00Z"/>
        <d v="2026-01-13T00:00:00Z"/>
        <d v="2026-01-29T00:00:00Z"/>
        <d v="2026-02-10T00:00:00Z"/>
        <d v="2026-01-14T00:00:00Z"/>
        <d v="2026-01-16T00:00:00Z"/>
        <d v="2026-02-18T00:00:00Z"/>
        <d v="2026-03-07T00:00:00Z"/>
        <d v="2026-01-19T00:00:00Z"/>
        <d v="2026-01-06T00:00:00Z"/>
        <d v="2026-01-03T00:00:00Z"/>
        <d v="2026-03-10T00:00:00Z"/>
      </sharedItems>
    </cacheField>
    <cacheField name="Target_SLA_Days" numFmtId="0">
      <sharedItems containsSemiMixedTypes="0" containsString="0" containsNumber="1" containsInteger="1">
        <n v="6.0"/>
        <n v="4.0"/>
        <n v="2.0"/>
      </sharedItems>
    </cacheField>
    <cacheField name="Actual_Business_Days">
      <sharedItems containsMixedTypes="1" containsNumber="1" containsInteger="1">
        <n v="5.0"/>
        <n v="4.0"/>
        <n v="3.0"/>
        <n v="7.0"/>
        <n v="2.0"/>
        <n v="1.0"/>
        <s v="In-Transit"/>
        <n v="6.0"/>
        <n v="8.0"/>
        <n v="10.0"/>
        <n v="9.0"/>
      </sharedItems>
    </cacheField>
    <cacheField name="SLA_Status" numFmtId="0">
      <sharedItems>
        <s v="ON TIME"/>
        <s v="SLA BREACH"/>
        <s v="Pending"/>
      </sharedItems>
    </cacheField>
    <cacheField name="Order_Value_INR" numFmtId="0">
      <sharedItems containsSemiMixedTypes="0" containsString="0" containsNumber="1" containsInteger="1">
        <n v="8482.0"/>
        <n v="4607.0"/>
        <n v="1841.0"/>
        <n v="8907.0"/>
        <n v="838.0"/>
        <n v="6395.0"/>
        <n v="3208.0"/>
        <n v="11844.0"/>
        <n v="2250.0"/>
        <n v="6104.0"/>
        <n v="2921.0"/>
        <n v="7619.0"/>
        <n v="9401.0"/>
        <n v="5819.0"/>
        <n v="7109.0"/>
        <n v="5887.0"/>
        <n v="4493.0"/>
        <n v="9180.0"/>
        <n v="8544.0"/>
        <n v="8738.0"/>
        <n v="5373.0"/>
        <n v="5306.0"/>
        <n v="9092.0"/>
        <n v="6413.0"/>
        <n v="7624.0"/>
        <n v="3657.0"/>
        <n v="890.0"/>
        <n v="4930.0"/>
        <n v="9320.0"/>
        <n v="8186.0"/>
        <n v="4732.0"/>
        <n v="11622.0"/>
        <n v="8507.0"/>
        <n v="2021.0"/>
        <n v="9518.0"/>
        <n v="2000.0"/>
        <n v="7237.0"/>
        <n v="3794.0"/>
        <n v="5585.0"/>
        <n v="2919.0"/>
        <n v="9626.0"/>
        <n v="3542.0"/>
        <n v="4997.0"/>
        <n v="1966.0"/>
        <n v="4061.0"/>
        <n v="1114.0"/>
        <n v="5892.0"/>
        <n v="8193.0"/>
        <n v="9874.0"/>
        <n v="3723.0"/>
        <n v="7638.0"/>
        <n v="3167.0"/>
        <n v="8480.0"/>
        <n v="630.0"/>
        <n v="3483.0"/>
        <n v="4778.0"/>
        <n v="7626.0"/>
        <n v="8730.0"/>
        <n v="8194.0"/>
        <n v="7140.0"/>
        <n v="5968.0"/>
        <n v="1420.0"/>
        <n v="8064.0"/>
        <n v="11461.0"/>
        <n v="9184.0"/>
        <n v="9823.0"/>
        <n v="9002.0"/>
        <n v="9430.0"/>
        <n v="3741.0"/>
        <n v="1045.0"/>
        <n v="11153.0"/>
        <n v="4846.0"/>
        <n v="10496.0"/>
        <n v="11904.0"/>
        <n v="4310.0"/>
        <n v="7706.0"/>
        <n v="9505.0"/>
        <n v="2532.0"/>
        <n v="8936.0"/>
        <n v="771.0"/>
        <n v="4011.0"/>
        <n v="2271.0"/>
        <n v="9954.0"/>
        <n v="11116.0"/>
        <n v="4861.0"/>
        <n v="7569.0"/>
        <n v="8690.0"/>
        <n v="3930.0"/>
        <n v="4935.0"/>
        <n v="11316.0"/>
        <n v="4260.0"/>
        <n v="2550.0"/>
        <n v="1665.0"/>
        <n v="9067.0"/>
        <n v="2533.0"/>
        <n v="6967.0"/>
        <n v="645.0"/>
        <n v="4888.0"/>
        <n v="8332.0"/>
        <n v="9123.0"/>
        <n v="9396.0"/>
        <n v="8673.0"/>
        <n v="3132.0"/>
        <n v="4994.0"/>
        <n v="8556.0"/>
        <n v="8011.0"/>
        <n v="9655.0"/>
        <n v="10926.0"/>
        <n v="10733.0"/>
        <n v="2328.0"/>
        <n v="10800.0"/>
        <n v="9630.0"/>
        <n v="5305.0"/>
        <n v="1306.0"/>
        <n v="10155.0"/>
        <n v="7986.0"/>
        <n v="8702.0"/>
        <n v="2368.0"/>
        <n v="8378.0"/>
        <n v="6190.0"/>
        <n v="8327.0"/>
        <n v="5929.0"/>
        <n v="9576.0"/>
        <n v="4064.0"/>
        <n v="1889.0"/>
        <n v="7774.0"/>
        <n v="1324.0"/>
        <n v="2765.0"/>
        <n v="1436.0"/>
        <n v="11492.0"/>
        <n v="11245.0"/>
        <n v="6902.0"/>
        <n v="4345.0"/>
        <n v="2296.0"/>
        <n v="8745.0"/>
        <n v="7714.0"/>
        <n v="1226.0"/>
        <n v="3236.0"/>
        <n v="11862.0"/>
        <n v="2413.0"/>
        <n v="10288.0"/>
        <n v="10606.0"/>
        <n v="8157.0"/>
        <n v="2966.0"/>
        <n v="11429.0"/>
        <n v="9541.0"/>
        <n v="10801.0"/>
        <n v="7812.0"/>
        <n v="8694.0"/>
        <n v="8406.0"/>
        <n v="5376.0"/>
        <n v="7787.0"/>
        <n v="1392.0"/>
        <n v="10722.0"/>
        <n v="11852.0"/>
        <n v="11068.0"/>
        <n v="5175.0"/>
        <n v="2433.0"/>
        <n v="1880.0"/>
        <n v="1790.0"/>
        <n v="2140.0"/>
        <n v="7990.0"/>
        <n v="11374.0"/>
        <n v="9679.0"/>
        <n v="1718.0"/>
        <n v="5516.0"/>
        <n v="7381.0"/>
        <n v="10047.0"/>
        <n v="10252.0"/>
        <n v="10110.0"/>
        <n v="1454.0"/>
        <n v="9675.0"/>
        <n v="7791.0"/>
        <n v="1474.0"/>
        <n v="4633.0"/>
        <n v="5870.0"/>
        <n v="4472.0"/>
        <n v="5795.0"/>
        <n v="9605.0"/>
        <n v="8728.0"/>
        <n v="10403.0"/>
        <n v="3520.0"/>
        <n v="9487.0"/>
        <n v="4536.0"/>
        <n v="5568.0"/>
        <n v="5733.0"/>
        <n v="11803.0"/>
        <n v="10016.0"/>
        <n v="817.0"/>
        <n v="2896.0"/>
        <n v="2662.0"/>
        <n v="3245.0"/>
        <n v="2091.0"/>
        <n v="6683.0"/>
        <n v="4430.0"/>
        <n v="10688.0"/>
        <n v="1812.0"/>
        <n v="9977.0"/>
        <n v="4811.0"/>
        <n v="7814.0"/>
        <n v="2883.0"/>
        <n v="3739.0"/>
        <n v="2639.0"/>
        <n v="2204.0"/>
        <n v="7424.0"/>
        <n v="862.0"/>
        <n v="3104.0"/>
        <n v="10408.0"/>
        <n v="4786.0"/>
        <n v="4238.0"/>
        <n v="2969.0"/>
        <n v="5295.0"/>
        <n v="6650.0"/>
        <n v="1056.0"/>
        <n v="9517.0"/>
        <n v="3308.0"/>
        <n v="5650.0"/>
        <n v="8061.0"/>
        <n v="3219.0"/>
        <n v="7006.0"/>
        <n v="4241.0"/>
        <n v="10266.0"/>
        <n v="4498.0"/>
        <n v="10821.0"/>
        <n v="2903.0"/>
        <n v="9280.0"/>
        <n v="10704.0"/>
        <n v="10239.0"/>
        <n v="794.0"/>
        <n v="10677.0"/>
        <n v="5843.0"/>
        <n v="11809.0"/>
        <n v="10382.0"/>
        <n v="1636.0"/>
        <n v="2564.0"/>
        <n v="7509.0"/>
        <n v="5043.0"/>
        <n v="1507.0"/>
        <n v="5945.0"/>
        <n v="11206.0"/>
        <n v="5852.0"/>
        <n v="9939.0"/>
        <n v="1935.0"/>
        <n v="1071.0"/>
        <n v="2882.0"/>
        <n v="9937.0"/>
        <n v="10776.0"/>
        <n v="5584.0"/>
        <n v="777.0"/>
        <n v="7559.0"/>
        <n v="2387.0"/>
        <n v="1765.0"/>
        <n v="7991.0"/>
        <n v="1540.0"/>
        <n v="9609.0"/>
        <n v="8573.0"/>
        <n v="9577.0"/>
        <n v="3252.0"/>
        <n v="8713.0"/>
        <n v="5069.0"/>
        <n v="11883.0"/>
        <n v="6853.0"/>
        <n v="2853.0"/>
        <n v="7937.0"/>
        <n v="5299.0"/>
        <n v="1186.0"/>
        <n v="8976.0"/>
        <n v="5311.0"/>
        <n v="9454.0"/>
        <n v="5846.0"/>
        <n v="5543.0"/>
        <n v="2928.0"/>
        <n v="11199.0"/>
        <n v="5626.0"/>
        <n v="8720.0"/>
        <n v="9598.0"/>
        <n v="11796.0"/>
        <n v="8313.0"/>
        <n v="11686.0"/>
        <n v="11198.0"/>
        <n v="10145.0"/>
        <n v="3856.0"/>
        <n v="9207.0"/>
        <n v="7766.0"/>
        <n v="7040.0"/>
        <n v="538.0"/>
        <n v="3842.0"/>
        <n v="9578.0"/>
        <n v="3344.0"/>
        <n v="10896.0"/>
        <n v="1598.0"/>
        <n v="7527.0"/>
        <n v="2323.0"/>
        <n v="11893.0"/>
        <n v="3655.0"/>
        <n v="3593.0"/>
        <n v="6158.0"/>
        <n v="4278.0"/>
        <n v="3396.0"/>
        <n v="1488.0"/>
        <n v="4616.0"/>
        <n v="6946.0"/>
        <n v="4679.0"/>
        <n v="2182.0"/>
        <n v="6126.0"/>
        <n v="7924.0"/>
        <n v="1433.0"/>
        <n v="4098.0"/>
        <n v="11925.0"/>
        <n v="2480.0"/>
        <n v="10547.0"/>
        <n v="3556.0"/>
        <n v="9484.0"/>
        <n v="1291.0"/>
        <n v="10501.0"/>
        <n v="5890.0"/>
        <n v="7135.0"/>
        <n v="2755.0"/>
        <n v="4110.0"/>
        <n v="2107.0"/>
        <n v="5679.0"/>
        <n v="7073.0"/>
        <n v="1484.0"/>
        <n v="6276.0"/>
        <n v="4176.0"/>
        <n v="3880.0"/>
        <n v="9211.0"/>
        <n v="9282.0"/>
        <n v="1550.0"/>
        <n v="4133.0"/>
        <n v="6842.0"/>
        <n v="1459.0"/>
        <n v="6559.0"/>
        <n v="9384.0"/>
        <n v="6155.0"/>
        <n v="4973.0"/>
        <n v="3446.0"/>
        <n v="8225.0"/>
        <n v="1026.0"/>
        <n v="3724.0"/>
        <n v="10945.0"/>
        <n v="2375.0"/>
        <n v="2263.0"/>
        <n v="9212.0"/>
        <n v="6297.0"/>
        <n v="9708.0"/>
        <n v="7599.0"/>
        <n v="5609.0"/>
        <n v="7144.0"/>
        <n v="616.0"/>
        <n v="2933.0"/>
        <n v="5963.0"/>
        <n v="1083.0"/>
        <n v="9086.0"/>
        <n v="4288.0"/>
        <n v="11460.0"/>
        <n v="4667.0"/>
        <n v="8965.0"/>
        <n v="10705.0"/>
        <n v="8857.0"/>
        <n v="10259.0"/>
        <n v="6654.0"/>
        <n v="5920.0"/>
        <n v="9420.0"/>
        <n v="2543.0"/>
        <n v="4697.0"/>
        <n v="3996.0"/>
        <n v="1278.0"/>
        <n v="713.0"/>
        <n v="4262.0"/>
        <n v="10268.0"/>
        <n v="11140.0"/>
        <n v="7231.0"/>
        <n v="11628.0"/>
        <n v="3617.0"/>
        <n v="6291.0"/>
        <n v="9283.0"/>
        <n v="3220.0"/>
        <n v="9405.0"/>
        <n v="9627.0"/>
        <n v="6547.0"/>
        <n v="8532.0"/>
        <n v="501.0"/>
        <n v="6868.0"/>
        <n v="11540.0"/>
        <n v="2449.0"/>
        <n v="7232.0"/>
        <n v="8333.0"/>
        <n v="1417.0"/>
        <n v="3674.0"/>
        <n v="10933.0"/>
        <n v="7514.0"/>
        <n v="589.0"/>
        <n v="2209.0"/>
        <n v="10861.0"/>
        <n v="3541.0"/>
        <n v="605.0"/>
        <n v="9119.0"/>
        <n v="2395.0"/>
        <n v="6590.0"/>
        <n v="9008.0"/>
        <n v="6582.0"/>
        <n v="1134.0"/>
        <n v="2425.0"/>
        <n v="2556.0"/>
        <n v="7417.0"/>
        <n v="3644.0"/>
        <n v="10962.0"/>
        <n v="10131.0"/>
        <n v="1052.0"/>
        <n v="9407.0"/>
        <n v="5883.0"/>
        <n v="4411.0"/>
        <n v="10405.0"/>
        <n v="3889.0"/>
        <n v="9799.0"/>
        <n v="8942.0"/>
        <n v="2930.0"/>
        <n v="10746.0"/>
        <n v="958.0"/>
        <n v="707.0"/>
        <n v="1399.0"/>
        <n v="521.0"/>
        <n v="9101.0"/>
        <n v="1394.0"/>
        <n v="1014.0"/>
        <n v="7794.0"/>
        <n v="5404.0"/>
        <n v="8367.0"/>
        <n v="4609.0"/>
        <n v="7679.0"/>
        <n v="10826.0"/>
        <n v="11648.0"/>
        <n v="2060.0"/>
        <n v="1766.0"/>
        <n v="4138.0"/>
        <n v="9441.0"/>
        <n v="3927.0"/>
        <n v="5280.0"/>
        <n v="2427.0"/>
        <n v="2856.0"/>
        <n v="5290.0"/>
        <n v="11027.0"/>
        <n v="806.0"/>
        <n v="8479.0"/>
        <n v="4165.0"/>
        <n v="10681.0"/>
        <n v="7557.0"/>
        <n v="1161.0"/>
        <n v="5144.0"/>
        <n v="9003.0"/>
        <n v="3420.0"/>
        <n v="9774.0"/>
        <n v="11663.0"/>
        <n v="9446.0"/>
        <n v="6736.0"/>
        <n v="6578.0"/>
        <n v="852.0"/>
        <n v="9594.0"/>
        <n v="7505.0"/>
        <n v="658.0"/>
        <n v="10669.0"/>
        <n v="1456.0"/>
        <n v="2571.0"/>
        <n v="9095.0"/>
        <n v="11471.0"/>
        <n v="10079.0"/>
        <n v="3953.0"/>
        <n v="7175.0"/>
        <n v="1455.0"/>
        <n v="6795.0"/>
        <n v="2212.0"/>
        <n v="5203.0"/>
        <n v="7063.0"/>
        <n v="9965.0"/>
        <n v="6131.0"/>
        <n v="11317.0"/>
        <n v="11074.0"/>
        <n v="10133.0"/>
        <n v="11671.0"/>
        <n v="10489.0"/>
        <n v="1894.0"/>
        <n v="9961.0"/>
        <n v="5232.0"/>
        <n v="4214.0"/>
        <n v="1029.0"/>
        <n v="3458.0"/>
        <n v="8404.0"/>
        <n v="11606.0"/>
        <n v="4091.0"/>
        <n v="10839.0"/>
        <n v="7395.0"/>
        <n v="9631.0"/>
        <n v="1025.0"/>
        <n v="6977.0"/>
        <n v="874.0"/>
        <n v="11032.0"/>
        <n v="11744.0"/>
        <n v="5148.0"/>
        <n v="2865.0"/>
        <n v="2025.0"/>
        <n v="2146.0"/>
        <n v="513.0"/>
        <n v="5099.0"/>
        <n v="2778.0"/>
        <n v="8821.0"/>
        <n v="4314.0"/>
        <n v="3716.0"/>
        <n v="11630.0"/>
        <n v="10732.0"/>
        <n v="8719.0"/>
        <n v="2613.0"/>
        <n v="9944.0"/>
        <n v="4856.0"/>
        <n v="10738.0"/>
        <n v="6043.0"/>
        <n v="5055.0"/>
        <n v="7562.0"/>
        <n v="3874.0"/>
        <n v="6930.0"/>
        <n v="3966.0"/>
        <n v="3581.0"/>
        <n v="1129.0"/>
        <n v="769.0"/>
        <n v="11331.0"/>
        <n v="10685.0"/>
        <n v="6224.0"/>
        <n v="6397.0"/>
        <n v="11583.0"/>
        <n v="3932.0"/>
        <n v="9972.0"/>
        <n v="6776.0"/>
        <n v="7615.0"/>
        <n v="7156.0"/>
        <n v="11052.0"/>
        <n v="1075.0"/>
        <n v="7529.0"/>
        <n v="6599.0"/>
        <n v="9999.0"/>
        <n v="3692.0"/>
        <n v="3678.0"/>
        <n v="6552.0"/>
        <n v="3234.0"/>
        <n v="6616.0"/>
        <n v="10904.0"/>
        <n v="11044.0"/>
        <n v="4068.0"/>
        <n v="10347.0"/>
        <n v="10271.0"/>
        <n v="2703.0"/>
        <n v="1890.0"/>
        <n v="2242.0"/>
        <n v="1119.0"/>
        <n v="1774.0"/>
        <n v="2439.0"/>
        <n v="4453.0"/>
        <n v="11073.0"/>
        <n v="1468.0"/>
        <n v="10008.0"/>
        <n v="9735.0"/>
        <n v="781.0"/>
        <n v="11536.0"/>
        <n v="6762.0"/>
        <n v="1558.0"/>
        <n v="4793.0"/>
        <n v="11224.0"/>
        <n v="5678.0"/>
        <n v="7480.0"/>
        <n v="9700.0"/>
        <n v="1729.0"/>
        <n v="9727.0"/>
        <n v="5085.0"/>
        <n v="8967.0"/>
        <n v="3240.0"/>
        <n v="2789.0"/>
        <n v="1739.0"/>
        <n v="625.0"/>
        <n v="7973.0"/>
        <n v="9900.0"/>
        <n v="5842.0"/>
        <n v="7851.0"/>
        <n v="7138.0"/>
        <n v="7070.0"/>
        <n v="3749.0"/>
        <n v="9610.0"/>
        <n v="8095.0"/>
        <n v="6794.0"/>
        <n v="7027.0"/>
        <n v="6257.0"/>
        <n v="2469.0"/>
        <n v="11485.0"/>
        <n v="1391.0"/>
        <n v="4970.0"/>
        <n v="7675.0"/>
        <n v="10725.0"/>
        <n v="10056.0"/>
        <n v="8820.0"/>
        <n v="9706.0"/>
        <n v="10491.0"/>
        <n v="7312.0"/>
        <n v="8019.0"/>
        <n v="5112.0"/>
        <n v="10210.0"/>
        <n v="1698.0"/>
        <n v="5738.0"/>
        <n v="11166.0"/>
        <n v="6589.0"/>
        <n v="6757.0"/>
        <n v="8205.0"/>
        <n v="4219.0"/>
        <n v="802.0"/>
        <n v="1486.0"/>
        <n v="10555.0"/>
        <n v="4940.0"/>
        <n v="5409.0"/>
        <n v="3572.0"/>
        <n v="3624.0"/>
        <n v="10019.0"/>
        <n v="11100.0"/>
        <n v="8625.0"/>
        <n v="3791.0"/>
        <n v="4533.0"/>
        <n v="5605.0"/>
        <n v="1203.0"/>
        <n v="8633.0"/>
        <n v="1074.0"/>
        <n v="6204.0"/>
        <n v="11924.0"/>
        <n v="8348.0"/>
        <n v="5708.0"/>
        <n v="11324.0"/>
        <n v="4328.0"/>
        <n v="3730.0"/>
        <n v="988.0"/>
        <n v="7614.0"/>
        <n v="10039.0"/>
        <n v="3673.0"/>
        <n v="2167.0"/>
        <n v="10329.0"/>
        <n v="4614.0"/>
        <n v="4053.0"/>
        <n v="8261.0"/>
        <n v="1500.0"/>
        <n v="9542.0"/>
        <n v="1888.0"/>
        <n v="5950.0"/>
        <n v="4212.0"/>
        <n v="1867.0"/>
        <n v="8689.0"/>
        <n v="9513.0"/>
        <n v="954.0"/>
        <n v="10316.0"/>
        <n v="3272.0"/>
        <n v="4226.0"/>
        <n v="7732.0"/>
        <n v="11839.0"/>
        <n v="2690.0"/>
        <n v="9608.0"/>
        <n v="3375.0"/>
        <n v="6092.0"/>
        <n v="1940.0"/>
        <n v="9427.0"/>
        <n v="7510.0"/>
        <n v="11707.0"/>
        <n v="7617.0"/>
        <n v="11581.0"/>
        <n v="9653.0"/>
        <n v="3489.0"/>
        <n v="9718.0"/>
        <n v="6728.0"/>
        <n v="6971.0"/>
        <n v="3363.0"/>
        <n v="11193.0"/>
        <n v="10639.0"/>
        <n v="1677.0"/>
        <n v="5260.0"/>
        <n v="511.0"/>
        <n v="5752.0"/>
        <n v="4899.0"/>
        <n v="11714.0"/>
        <n v="11522.0"/>
        <n v="8734.0"/>
        <n v="9635.0"/>
        <n v="11082.0"/>
        <n v="11237.0"/>
        <n v="11103.0"/>
        <n v="9696.0"/>
        <n v="8712.0"/>
        <n v="906.0"/>
        <n v="4931.0"/>
        <n v="10530.0"/>
        <n v="11880.0"/>
        <n v="5743.0"/>
        <n v="7042.0"/>
        <n v="7436.0"/>
        <n v="9406.0"/>
        <n v="4646.0"/>
        <n v="640.0"/>
        <n v="5382.0"/>
        <n v="6512.0"/>
        <n v="1463.0"/>
        <n v="7651.0"/>
        <n v="9064.0"/>
        <n v="11233.0"/>
        <n v="10384.0"/>
        <n v="7394.0"/>
        <n v="7811.0"/>
        <n v="6039.0"/>
        <n v="10373.0"/>
        <n v="11328.0"/>
        <n v="7287.0"/>
        <n v="2637.0"/>
        <n v="4945.0"/>
        <n v="4030.0"/>
        <n v="1786.0"/>
        <n v="11871.0"/>
        <n v="7552.0"/>
        <n v="4154.0"/>
        <n v="7602.0"/>
        <n v="2859.0"/>
        <n v="8605.0"/>
        <n v="9136.0"/>
        <n v="6941.0"/>
        <n v="5547.0"/>
        <n v="8727.0"/>
        <n v="5703.0"/>
        <n v="10167.0"/>
        <n v="2298.0"/>
        <n v="10537.0"/>
        <n v="10100.0"/>
        <n v="5791.0"/>
        <n v="5995.0"/>
        <n v="10400.0"/>
        <n v="6784.0"/>
        <n v="7785.0"/>
        <n v="1800.0"/>
        <n v="7369.0"/>
        <n v="9935.0"/>
        <n v="3597.0"/>
        <n v="5116.0"/>
        <n v="509.0"/>
        <n v="11117.0"/>
        <n v="6252.0"/>
        <n v="10352.0"/>
        <n v="11323.0"/>
        <n v="5315.0"/>
        <n v="1572.0"/>
        <n v="3725.0"/>
        <n v="1816.0"/>
        <n v="6199.0"/>
        <n v="7307.0"/>
        <n v="7174.0"/>
        <n v="4183.0"/>
        <n v="7727.0"/>
        <n v="3773.0"/>
        <n v="7500.0"/>
        <n v="5510.0"/>
        <n v="3540.0"/>
        <n v="10154.0"/>
        <n v="10276.0"/>
        <n v="982.0"/>
        <n v="3679.0"/>
        <n v="1749.0"/>
        <n v="1130.0"/>
        <n v="9353.0"/>
        <n v="3352.0"/>
        <n v="11158.0"/>
        <n v="1487.0"/>
        <n v="8122.0"/>
        <n v="7827.0"/>
        <n v="10238.0"/>
        <n v="9341.0"/>
        <n v="9660.0"/>
        <n v="11329.0"/>
        <n v="1600.0"/>
        <n v="7152.0"/>
        <n v="9132.0"/>
        <n v="7921.0"/>
        <n v="1269.0"/>
        <n v="1843.0"/>
        <n v="4858.0"/>
        <n v="10269.0"/>
        <n v="7280.0"/>
        <n v="7102.0"/>
        <n v="2849.0"/>
        <n v="1741.0"/>
        <n v="1625.0"/>
        <n v="11293.0"/>
        <n v="9882.0"/>
        <n v="7264.0"/>
        <n v="5601.0"/>
        <n v="8343.0"/>
        <n v="572.0"/>
        <n v="5972.0"/>
        <n v="5689.0"/>
        <n v="2972.0"/>
        <n v="11738.0"/>
        <n v="1207.0"/>
        <n v="2304.0"/>
        <n v="7204.0"/>
        <n v="4213.0"/>
        <n v="5551.0"/>
        <n v="11256.0"/>
        <n v="2975.0"/>
        <n v="4755.0"/>
        <n v="11515.0"/>
        <n v="7897.0"/>
        <n v="2235.0"/>
        <n v="10277.0"/>
        <n v="8758.0"/>
        <n v="11753.0"/>
        <n v="7926.0"/>
        <n v="9033.0"/>
        <n v="5749.0"/>
        <n v="11466.0"/>
        <n v="3317.0"/>
        <n v="11353.0"/>
        <n v="9924.0"/>
        <n v="4374.0"/>
        <n v="11093.0"/>
        <n v="10186.0"/>
        <n v="4711.0"/>
        <n v="10560.0"/>
        <n v="11026.0"/>
        <n v="3165.0"/>
        <n v="2993.0"/>
        <n v="7313.0"/>
        <n v="1132.0"/>
        <n v="10794.0"/>
        <n v="11651.0"/>
        <n v="3583.0"/>
        <n v="10623.0"/>
        <n v="7623.0"/>
        <n v="11254.0"/>
        <n v="2179.0"/>
        <n v="736.0"/>
        <n v="7946.0"/>
        <n v="4943.0"/>
        <n v="7270.0"/>
        <n v="10232.0"/>
        <n v="9055.0"/>
        <n v="2868.0"/>
        <n v="785.0"/>
        <n v="648.0"/>
        <n v="4537.0"/>
        <n v="7049.0"/>
        <n v="7621.0"/>
        <n v="10458.0"/>
        <n v="5395.0"/>
        <n v="5780.0"/>
        <n v="1512.0"/>
        <n v="11523.0"/>
        <n v="10215.0"/>
        <n v="3285.0"/>
        <n v="11248.0"/>
        <n v="4225.0"/>
        <n v="5076.0"/>
        <n v="6282.0"/>
        <n v="10293.0"/>
        <n v="2908.0"/>
        <n v="840.0"/>
        <n v="2996.0"/>
        <n v="6462.0"/>
        <n v="5799.0"/>
        <n v="10417.0"/>
        <n v="8074.0"/>
        <n v="2189.0"/>
        <n v="3767.0"/>
        <n v="4906.0"/>
        <n v="8953.0"/>
        <n v="1942.0"/>
        <n v="9097.0"/>
        <n v="10882.0"/>
        <n v="4937.0"/>
        <n v="5935.0"/>
        <n v="8935.0"/>
        <n v="1060.0"/>
        <n v="11417.0"/>
        <n v="9285.0"/>
        <n v="6048.0"/>
        <n v="2326.0"/>
        <n v="11921.0"/>
        <n v="11979.0"/>
        <n v="8129.0"/>
        <n v="8825.0"/>
        <n v="3638.0"/>
        <n v="8764.0"/>
        <n v="8342.0"/>
        <n v="7221.0"/>
        <n v="7502.0"/>
        <n v="4725.0"/>
        <n v="3478.0"/>
        <n v="7873.0"/>
        <n v="6407.0"/>
        <n v="6597.0"/>
        <n v="6156.0"/>
        <n v="4759.0"/>
        <n v="8786.0"/>
        <n v="6401.0"/>
        <n v="9825.0"/>
        <n v="5417.0"/>
        <n v="8929.0"/>
        <n v="11638.0"/>
        <n v="3030.0"/>
        <n v="2460.0"/>
        <n v="7545.0"/>
        <n v="1548.0"/>
        <n v="6272.0"/>
        <n v="3029.0"/>
        <n v="3464.0"/>
        <n v="7637.0"/>
        <n v="1036.0"/>
        <n v="7840.0"/>
        <n v="8467.0"/>
        <n v="9234.0"/>
        <n v="1345.0"/>
        <n v="6277.0"/>
        <n v="3536.0"/>
        <n v="6447.0"/>
        <n v="2994.0"/>
        <n v="2384.0"/>
        <n v="4849.0"/>
        <n v="11402.0"/>
        <n v="7110.0"/>
        <n v="7654.0"/>
        <n v="10645.0"/>
        <n v="6988.0"/>
        <n v="5237.0"/>
        <n v="7025.0"/>
        <n v="4350.0"/>
        <n v="1189.0"/>
        <n v="10642.0"/>
        <n v="5675.0"/>
        <n v="9148.0"/>
        <n v="5578.0"/>
        <n v="10822.0"/>
        <n v="5948.0"/>
        <n v="1679.0"/>
        <n v="9574.0"/>
        <n v="6906.0"/>
        <n v="9091.0"/>
        <n v="7407.0"/>
        <n v="9300.0"/>
        <n v="2138.0"/>
        <n v="6171.0"/>
        <n v="7428.0"/>
        <n v="10840.0"/>
        <n v="1882.0"/>
        <n v="1903.0"/>
        <n v="9511.0"/>
        <n v="3792.0"/>
      </sharedItems>
    </cacheField>
    <cacheField name="Penalty_Claim_INR" numFmtId="0">
      <sharedItems containsSemiMixedTypes="0" containsString="0" containsNumber="1">
        <n v="0.0"/>
        <n v="230.35000000000002"/>
        <n v="92.05000000000001"/>
        <n v="41.900000000000006"/>
        <n v="305.2"/>
        <n v="380.95000000000005"/>
        <n v="470.05"/>
        <n v="290.95"/>
        <n v="268.65000000000003"/>
        <n v="246.5"/>
        <n v="101.05000000000001"/>
        <n v="475.90000000000003"/>
        <n v="279.25"/>
        <n v="481.3"/>
        <n v="177.10000000000002"/>
        <n v="98.30000000000001"/>
        <n v="409.65000000000003"/>
        <n v="493.70000000000005"/>
        <n v="381.90000000000003"/>
        <n v="424.0"/>
        <n v="238.9"/>
        <n v="381.3"/>
        <n v="403.20000000000005"/>
        <n v="491.15000000000003"/>
        <n v="52.25"/>
        <n v="595.2"/>
        <n v="475.25"/>
        <n v="446.8"/>
        <n v="200.55"/>
        <n v="378.45000000000005"/>
        <n v="71.0"/>
        <n v="196.5"/>
        <n v="565.8000000000001"/>
        <n v="213.0"/>
        <n v="127.5"/>
        <n v="249.70000000000002"/>
        <n v="482.75"/>
        <n v="546.3000000000001"/>
        <n v="481.5"/>
        <n v="507.75"/>
        <n v="118.4"/>
        <n v="309.5"/>
        <n v="296.45"/>
        <n v="66.2"/>
        <n v="114.80000000000001"/>
        <n v="437.25"/>
        <n v="593.1"/>
        <n v="120.65"/>
        <n v="407.85"/>
        <n v="148.3"/>
        <n v="540.0500000000001"/>
        <n v="420.3"/>
        <n v="69.60000000000001"/>
        <n v="536.1"/>
        <n v="85.9"/>
        <n v="483.75"/>
        <n v="289.75"/>
        <n v="520.15"/>
        <n v="176.0"/>
        <n v="474.35"/>
        <n v="226.8"/>
        <n v="133.1"/>
        <n v="162.25"/>
        <n v="534.4"/>
        <n v="90.60000000000001"/>
        <n v="186.95000000000002"/>
        <n v="43.1"/>
        <n v="520.4"/>
        <n v="148.45000000000002"/>
        <n v="264.75"/>
        <n v="403.05"/>
        <n v="350.3"/>
        <n v="212.05"/>
        <n v="145.15"/>
        <n v="533.85"/>
        <n v="297.25"/>
        <n v="560.3000000000001"/>
        <n v="292.6"/>
        <n v="53.550000000000004"/>
        <n v="496.85"/>
        <n v="538.8000000000001"/>
        <n v="279.2"/>
        <n v="119.35000000000001"/>
        <n v="399.55"/>
        <n v="480.45000000000005"/>
        <n v="253.45000000000002"/>
        <n v="142.65"/>
        <n v="396.85"/>
        <n v="264.95"/>
        <n v="59.300000000000004"/>
        <n v="277.15000000000003"/>
        <n v="146.4"/>
        <n v="436.0"/>
        <n v="584.3000000000001"/>
        <n v="559.9"/>
        <n v="192.8"/>
        <n v="388.3"/>
        <n v="179.65"/>
        <n v="307.90000000000003"/>
        <n v="233.95000000000002"/>
        <n v="109.10000000000001"/>
        <n v="124.0"/>
        <n v="527.35"/>
        <n v="177.8"/>
        <n v="474.20000000000005"/>
        <n v="74.2"/>
        <n v="307.75"/>
        <n v="460.6"/>
        <n v="357.20000000000005"/>
        <n v="30.8"/>
        <n v="332.70000000000005"/>
        <n v="471.0"/>
        <n v="199.8"/>
        <n v="63.900000000000006"/>
        <n v="161.0"/>
        <n v="481.35"/>
        <n v="327.35"/>
        <n v="577.0"/>
        <n v="416.65000000000003"/>
        <n v="29.450000000000003"/>
        <n v="329.5"/>
        <n v="329.1"/>
        <n v="127.80000000000001"/>
        <n v="370.85"/>
        <n v="548.1"/>
        <n v="506.55"/>
        <n v="52.6"/>
        <n v="294.15000000000003"/>
        <n v="220.55"/>
        <n v="447.1"/>
        <n v="146.5"/>
        <n v="537.3000000000001"/>
        <n v="455.05"/>
        <n v="418.35"/>
        <n v="582.4"/>
        <n v="103.0"/>
        <n v="472.05"/>
        <n v="121.35000000000001"/>
        <n v="264.5"/>
        <n v="208.25"/>
        <n v="377.85"/>
        <n v="58.050000000000004"/>
        <n v="583.15"/>
        <n v="472.3"/>
        <n v="336.8"/>
        <n v="375.25"/>
        <n v="503.95000000000005"/>
        <n v="358.75"/>
        <n v="339.75"/>
        <n v="353.15000000000003"/>
        <n v="565.85"/>
        <n v="506.65000000000003"/>
        <n v="524.45"/>
        <n v="94.7"/>
        <n v="261.6"/>
        <n v="210.70000000000002"/>
        <n v="481.55"/>
        <n v="51.25"/>
        <n v="348.85"/>
        <n v="101.25"/>
        <n v="25.650000000000002"/>
        <n v="441.05"/>
        <n v="215.70000000000002"/>
        <n v="581.5"/>
        <n v="130.65"/>
        <n v="536.9"/>
        <n v="252.75"/>
        <n v="378.1"/>
        <n v="198.3"/>
        <n v="179.05"/>
        <n v="56.45"/>
        <n v="38.45"/>
        <n v="566.5500000000001"/>
        <n v="534.25"/>
        <n v="319.85"/>
        <n v="380.75"/>
        <n v="552.6"/>
        <n v="329.95000000000005"/>
        <n v="203.4"/>
        <n v="500.40000000000003"/>
        <n v="338.1"/>
        <n v="239.65"/>
        <n v="561.2"/>
        <n v="374.0"/>
        <n v="254.25"/>
        <n v="495.0"/>
        <n v="187.45000000000002"/>
        <n v="502.8"/>
        <n v="84.9"/>
        <n v="286.90000000000003"/>
        <n v="40.1"/>
        <n v="270.45"/>
        <n v="285.40000000000003"/>
        <n v="49.400000000000006"/>
        <n v="380.70000000000005"/>
        <n v="516.45"/>
        <n v="202.65"/>
        <n v="413.05"/>
        <n v="75.0"/>
        <n v="475.65000000000003"/>
        <n v="515.8000000000001"/>
        <n v="168.75"/>
        <n v="327.95000000000005"/>
        <n v="380.85"/>
        <n v="579.0500000000001"/>
        <n v="482.65000000000003"/>
        <n v="336.40000000000003"/>
        <n v="555.15"/>
        <n v="485.3"/>
        <n v="269.1"/>
        <n v="325.6"/>
        <n v="73.15"/>
        <n v="382.55"/>
        <n v="561.65"/>
        <n v="369.70000000000005"/>
        <n v="518.65"/>
        <n v="456.8"/>
        <n v="285.15000000000003"/>
        <n v="508.35"/>
        <n v="368.45000000000005"/>
        <n v="179.85000000000002"/>
        <n v="517.6"/>
        <n v="78.60000000000001"/>
        <n v="90.80000000000001"/>
        <n v="365.35"/>
        <n v="275.5"/>
        <n v="177.0"/>
        <n v="56.5"/>
        <n v="167.60000000000002"/>
        <n v="467.05"/>
        <n v="566.45"/>
        <n v="80.0"/>
        <n v="396.05"/>
        <n v="275.8"/>
        <n v="63.45"/>
        <n v="355.1"/>
        <n v="142.45000000000002"/>
        <n v="81.25"/>
        <n v="564.65"/>
        <n v="363.20000000000005"/>
        <n v="280.05"/>
        <n v="28.6"/>
        <n v="530.3000000000001"/>
        <n v="284.45"/>
        <n v="210.65"/>
        <n v="237.75"/>
        <n v="575.75"/>
        <n v="394.85"/>
        <n v="587.65"/>
        <n v="573.3000000000001"/>
        <n v="289.55"/>
        <n v="218.70000000000002"/>
        <n v="149.65"/>
        <n v="210.95000000000002"/>
        <n v="562.7"/>
        <n v="36.800000000000004"/>
        <n v="559.95"/>
        <n v="164.25"/>
        <n v="211.25"/>
        <n v="253.8"/>
        <n v="188.35000000000002"/>
        <n v="454.85"/>
        <n v="596.0500000000001"/>
        <n v="173.9"/>
        <n v="393.65000000000003"/>
        <n v="329.85"/>
        <n v="307.8"/>
        <n v="439.3"/>
        <n v="491.25"/>
        <n v="270.85"/>
        <n v="446.45000000000005"/>
        <n v="77.4"/>
        <n v="313.6"/>
        <n v="176.8"/>
        <n v="149.70000000000002"/>
        <n v="160.95000000000002"/>
        <n v="346.5"/>
        <n v="217.5"/>
        <n v="532.1"/>
        <n v="457.40000000000003"/>
        <n v="95.15"/>
        <n v="189.60000000000002"/>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Executive_Dashboard" cacheId="0" dataCaption="" compact="0" compactData="0">
  <location ref="A3:E8" firstHeaderRow="0" firstDataRow="1" firstDataCol="1"/>
  <pivotFields>
    <pivotField name="Tracking_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t="default"/>
      </items>
    </pivotField>
    <pivotField name="Vendor_Name" axis="axisRow" compact="0" outline="0" multipleItemSelectionAllowed="1" showAll="0" sortType="ascending">
      <items>
        <item x="2"/>
        <item x="1"/>
        <item x="0"/>
        <item t="default"/>
      </items>
    </pivotField>
    <pivotField name="Destination_Zone" compact="0" outline="0" multipleItemSelectionAllowed="1" showAll="0">
      <items>
        <item x="0"/>
        <item x="1"/>
        <item x="2"/>
        <item t="default"/>
      </items>
    </pivotField>
    <pivotField name="Dispatch_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t="default"/>
      </items>
    </pivotField>
    <pivotField name="Delivery_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t="default"/>
      </items>
    </pivotField>
    <pivotField name="Target_SLA_Days" compact="0" outline="0" multipleItemSelectionAllowed="1" showAll="0">
      <items>
        <item x="0"/>
        <item x="1"/>
        <item x="2"/>
        <item t="default"/>
      </items>
    </pivotField>
    <pivotField name="Actual_Business_Days" compact="0" outline="0" multipleItemSelectionAllowed="1" showAll="0">
      <items>
        <item x="0"/>
        <item x="1"/>
        <item x="2"/>
        <item x="3"/>
        <item x="4"/>
        <item x="5"/>
        <item x="6"/>
        <item x="7"/>
        <item x="8"/>
        <item x="9"/>
        <item x="10"/>
        <item t="default"/>
      </items>
    </pivotField>
    <pivotField name="SLA_Status" axis="axisCol" compact="0" outline="0" multipleItemSelectionAllowed="1" showAll="0" sortType="ascending">
      <items>
        <item x="0"/>
        <item x="2"/>
        <item x="1"/>
        <item t="default"/>
      </items>
    </pivotField>
    <pivotField name="Order_Value_IN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t="default"/>
      </items>
    </pivotField>
    <pivotField name="Penalty_Claim_IN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t="default"/>
      </items>
    </pivotField>
  </pivotFields>
  <rowFields>
    <field x="1"/>
  </rowFields>
  <colFields>
    <field x="7"/>
  </colFields>
  <dataFields>
    <dataField name="COUNTA of Tracking_ID" fld="0" subtotal="count" showDataAs="percentOfRow" baseField="0" numFmtId="10"/>
  </dataFields>
</pivotTableDefinition>
</file>

<file path=xl/pivotTables/pivotTable2.xml><?xml version="1.0" encoding="utf-8"?>
<pivotTableDefinition xmlns="http://schemas.openxmlformats.org/spreadsheetml/2006/main" name="Executive_Dashboard 2" cacheId="0" dataCaption="" compact="0" compactData="0">
  <location ref="A10:B14" firstHeaderRow="0" firstDataRow="1" firstDataCol="0"/>
  <pivotFields>
    <pivotField name="Tracking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t="default"/>
      </items>
    </pivotField>
    <pivotField name="Vendor_Name" axis="axisRow" compact="0" outline="0" multipleItemSelectionAllowed="1" showAll="0" sortType="ascending">
      <items>
        <item x="2"/>
        <item x="1"/>
        <item x="0"/>
        <item t="default"/>
      </items>
    </pivotField>
    <pivotField name="Destination_Zone" compact="0" outline="0" multipleItemSelectionAllowed="1" showAll="0">
      <items>
        <item x="0"/>
        <item x="1"/>
        <item x="2"/>
        <item t="default"/>
      </items>
    </pivotField>
    <pivotField name="Dispatch_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t="default"/>
      </items>
    </pivotField>
    <pivotField name="Delivery_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t="default"/>
      </items>
    </pivotField>
    <pivotField name="Target_SLA_Days" compact="0" outline="0" multipleItemSelectionAllowed="1" showAll="0">
      <items>
        <item x="0"/>
        <item x="1"/>
        <item x="2"/>
        <item t="default"/>
      </items>
    </pivotField>
    <pivotField name="Actual_Business_Days" compact="0" outline="0" multipleItemSelectionAllowed="1" showAll="0">
      <items>
        <item x="0"/>
        <item x="1"/>
        <item x="2"/>
        <item x="3"/>
        <item x="4"/>
        <item x="5"/>
        <item x="6"/>
        <item x="7"/>
        <item x="8"/>
        <item x="9"/>
        <item x="10"/>
        <item t="default"/>
      </items>
    </pivotField>
    <pivotField name="SLA_Status" compact="0" outline="0" multipleItemSelectionAllowed="1" showAll="0">
      <items>
        <item x="0"/>
        <item x="1"/>
        <item x="2"/>
        <item t="default"/>
      </items>
    </pivotField>
    <pivotField name="Order_Value_IN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t="default"/>
      </items>
    </pivotField>
    <pivotField name="Penalty_Claim_INR"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t="default"/>
      </items>
    </pivotField>
  </pivotFields>
  <rowFields>
    <field x="1"/>
  </rowFields>
  <dataFields>
    <dataField name="SUM of Penalty_Claim_INR" fld="9" baseField="0"/>
  </dataFields>
</pivotTableDefinition>
</file>

<file path=xl/slicerCaches/slicerCache1.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3" sourceName="Destination_Zone">
  <x14:extLst>
    <ext uri="{2F2917AC-EB37-4324-AD4E-5DD8C200BD13}">
      <x15:tableSlicerCache tableId="1" column="3"/>
    </ext>
  </x14:extLst>
</x14:slicerCacheDefinition>
</file>

<file path=xl/slicers/slicer1.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Destination_Zone_1" cache="SlicerCache_Table_1_Col_3" caption="Destination_Zone" rowHeight="247650"/>
</x14:slicers>
</file>

<file path=xl/tables/table1.xml><?xml version="1.0" encoding="utf-8"?>
<table xmlns="http://schemas.openxmlformats.org/spreadsheetml/2006/main" ref="A1:J1001" displayName="Table_1" name="Table_1" id="1">
  <autoFilter ref="$A$1:$J$1001"/>
  <tableColumns count="10">
    <tableColumn name="Tracking_ID" id="1"/>
    <tableColumn name="Vendor_Name" id="2"/>
    <tableColumn name="Destination_Zone" id="3"/>
    <tableColumn name="Dispatch_Date" id="4"/>
    <tableColumn name="Delivery_Date" id="5"/>
    <tableColumn name="Target_SLA_Days" id="6"/>
    <tableColumn name="Actual_Business_Days" id="7"/>
    <tableColumn name="SLA_Status" id="8"/>
    <tableColumn name="Order_Value_INR" id="9"/>
    <tableColumn name="Penalty_Claim_INR" id="10"/>
  </tableColumns>
  <tableStyleInfo showColumnStripes="0" showFirstColumn="0" showLastColumn="0" showRow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pivotTable" Target="../pivotTables/pivotTable2.xml"/><Relationship Id="rId3" Type="http://schemas.openxmlformats.org/officeDocument/2006/relationships/drawing" Target="../drawings/drawing4.xml"/><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0.25"/>
  </cols>
  <sheetData>
    <row r="1">
      <c r="A1" s="1" t="s">
        <v>0</v>
      </c>
    </row>
    <row r="2">
      <c r="A2" s="1" t="s">
        <v>1</v>
      </c>
    </row>
    <row r="3">
      <c r="A3" s="1" t="s">
        <v>2</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3</v>
      </c>
      <c r="B1" s="1" t="s">
        <v>4</v>
      </c>
      <c r="C1" s="1" t="s">
        <v>5</v>
      </c>
      <c r="D1" s="1" t="s">
        <v>6</v>
      </c>
      <c r="E1" s="1" t="s">
        <v>7</v>
      </c>
      <c r="F1" s="1" t="s">
        <v>8</v>
      </c>
    </row>
    <row r="2">
      <c r="A2" s="1" t="s">
        <v>9</v>
      </c>
      <c r="B2" s="1" t="s">
        <v>10</v>
      </c>
      <c r="C2" s="1" t="s">
        <v>11</v>
      </c>
      <c r="D2" s="2">
        <v>46058.0</v>
      </c>
      <c r="E2" s="2">
        <v>46064.0</v>
      </c>
      <c r="F2" s="1">
        <v>8482.0</v>
      </c>
    </row>
    <row r="3">
      <c r="A3" s="1" t="s">
        <v>12</v>
      </c>
      <c r="B3" s="1" t="s">
        <v>13</v>
      </c>
      <c r="C3" s="1" t="s">
        <v>14</v>
      </c>
      <c r="D3" s="2">
        <v>46068.0</v>
      </c>
      <c r="E3" s="2">
        <v>46075.0</v>
      </c>
      <c r="F3" s="1">
        <v>4607.0</v>
      </c>
    </row>
    <row r="4">
      <c r="A4" s="1" t="s">
        <v>15</v>
      </c>
      <c r="B4" s="1" t="s">
        <v>13</v>
      </c>
      <c r="C4" s="1" t="s">
        <v>16</v>
      </c>
      <c r="D4" s="2">
        <v>46077.0</v>
      </c>
      <c r="E4" s="3">
        <v>46080.0</v>
      </c>
      <c r="F4" s="1">
        <v>1841.0</v>
      </c>
    </row>
    <row r="5">
      <c r="A5" s="1" t="s">
        <v>17</v>
      </c>
      <c r="B5" s="1" t="s">
        <v>10</v>
      </c>
      <c r="C5" s="1" t="s">
        <v>11</v>
      </c>
      <c r="D5" s="2">
        <v>46041.0</v>
      </c>
      <c r="E5" s="2">
        <v>46047.0</v>
      </c>
      <c r="F5" s="1">
        <v>8907.0</v>
      </c>
    </row>
    <row r="6">
      <c r="A6" s="1" t="s">
        <v>18</v>
      </c>
      <c r="B6" s="1" t="s">
        <v>19</v>
      </c>
      <c r="C6" s="1" t="s">
        <v>16</v>
      </c>
      <c r="D6" s="2">
        <v>46071.0</v>
      </c>
      <c r="E6" s="2">
        <v>46073.0</v>
      </c>
      <c r="F6" s="1">
        <v>838.0</v>
      </c>
    </row>
    <row r="7">
      <c r="A7" s="1" t="s">
        <v>20</v>
      </c>
      <c r="B7" s="1" t="s">
        <v>13</v>
      </c>
      <c r="C7" s="1" t="s">
        <v>14</v>
      </c>
      <c r="D7" s="2">
        <v>46040.0</v>
      </c>
      <c r="E7" s="2">
        <v>46044.0</v>
      </c>
      <c r="F7" s="1">
        <v>6395.0</v>
      </c>
    </row>
    <row r="8">
      <c r="A8" s="1" t="s">
        <v>21</v>
      </c>
      <c r="B8" s="1" t="s">
        <v>13</v>
      </c>
      <c r="C8" s="1" t="s">
        <v>11</v>
      </c>
      <c r="D8" s="2">
        <v>46080.0</v>
      </c>
      <c r="E8" s="2">
        <v>46086.0</v>
      </c>
      <c r="F8" s="1">
        <v>3208.0</v>
      </c>
    </row>
    <row r="9">
      <c r="A9" s="1" t="s">
        <v>22</v>
      </c>
      <c r="B9" s="1" t="s">
        <v>13</v>
      </c>
      <c r="C9" s="1" t="s">
        <v>11</v>
      </c>
      <c r="D9" s="2">
        <v>46032.0</v>
      </c>
      <c r="E9" s="2">
        <v>46040.0</v>
      </c>
      <c r="F9" s="1">
        <v>11844.0</v>
      </c>
    </row>
    <row r="10">
      <c r="A10" s="1" t="s">
        <v>23</v>
      </c>
      <c r="B10" s="1" t="s">
        <v>10</v>
      </c>
      <c r="C10" s="1" t="s">
        <v>11</v>
      </c>
      <c r="D10" s="2">
        <v>46028.0</v>
      </c>
      <c r="E10" s="2">
        <v>46034.0</v>
      </c>
      <c r="F10" s="1">
        <v>2250.0</v>
      </c>
    </row>
    <row r="11">
      <c r="A11" s="1" t="s">
        <v>24</v>
      </c>
      <c r="B11" s="1" t="s">
        <v>13</v>
      </c>
      <c r="C11" s="1" t="s">
        <v>16</v>
      </c>
      <c r="D11" s="2">
        <v>46075.0</v>
      </c>
      <c r="E11" s="2">
        <v>46078.0</v>
      </c>
      <c r="F11" s="1">
        <v>6104.0</v>
      </c>
    </row>
    <row r="12">
      <c r="A12" s="1" t="s">
        <v>25</v>
      </c>
      <c r="B12" s="1" t="s">
        <v>10</v>
      </c>
      <c r="C12" s="1" t="s">
        <v>14</v>
      </c>
      <c r="D12" s="3">
        <v>46079.0</v>
      </c>
      <c r="E12" s="2">
        <v>46083.0</v>
      </c>
      <c r="F12" s="1">
        <v>2921.0</v>
      </c>
    </row>
    <row r="13">
      <c r="A13" s="1" t="s">
        <v>26</v>
      </c>
      <c r="B13" s="1" t="s">
        <v>10</v>
      </c>
      <c r="C13" s="1" t="s">
        <v>16</v>
      </c>
      <c r="D13" s="2">
        <v>46082.0</v>
      </c>
      <c r="E13" s="2">
        <v>46087.0</v>
      </c>
      <c r="F13" s="1">
        <v>7619.0</v>
      </c>
    </row>
    <row r="14">
      <c r="A14" s="1" t="s">
        <v>27</v>
      </c>
      <c r="B14" s="1" t="s">
        <v>10</v>
      </c>
      <c r="C14" s="1" t="s">
        <v>11</v>
      </c>
      <c r="D14" s="2">
        <v>46049.0</v>
      </c>
      <c r="E14" s="3">
        <v>46057.0</v>
      </c>
      <c r="F14" s="1">
        <v>9401.0</v>
      </c>
    </row>
    <row r="15">
      <c r="A15" s="1" t="s">
        <v>28</v>
      </c>
      <c r="B15" s="1" t="s">
        <v>13</v>
      </c>
      <c r="C15" s="1" t="s">
        <v>16</v>
      </c>
      <c r="D15" s="2">
        <v>46048.0</v>
      </c>
      <c r="E15" s="2">
        <v>46050.0</v>
      </c>
      <c r="F15" s="1">
        <v>5819.0</v>
      </c>
    </row>
    <row r="16">
      <c r="A16" s="1" t="s">
        <v>29</v>
      </c>
      <c r="B16" s="1" t="s">
        <v>10</v>
      </c>
      <c r="C16" s="1" t="s">
        <v>11</v>
      </c>
      <c r="D16" s="2">
        <v>46046.0</v>
      </c>
      <c r="E16" s="2">
        <v>46052.0</v>
      </c>
      <c r="F16" s="1">
        <v>7109.0</v>
      </c>
    </row>
    <row r="17">
      <c r="A17" s="1" t="s">
        <v>30</v>
      </c>
      <c r="B17" s="1" t="s">
        <v>19</v>
      </c>
      <c r="C17" s="1" t="s">
        <v>16</v>
      </c>
      <c r="D17" s="2">
        <v>46047.0</v>
      </c>
      <c r="E17" s="3">
        <v>46049.0</v>
      </c>
      <c r="F17" s="1">
        <v>5887.0</v>
      </c>
    </row>
    <row r="18">
      <c r="A18" s="1" t="s">
        <v>31</v>
      </c>
      <c r="B18" s="1" t="s">
        <v>13</v>
      </c>
      <c r="C18" s="1" t="s">
        <v>14</v>
      </c>
      <c r="D18" s="2">
        <v>46046.0</v>
      </c>
      <c r="E18" s="2">
        <v>46050.0</v>
      </c>
      <c r="F18" s="1">
        <v>4493.0</v>
      </c>
    </row>
    <row r="19">
      <c r="A19" s="1" t="s">
        <v>32</v>
      </c>
      <c r="B19" s="1" t="s">
        <v>13</v>
      </c>
      <c r="C19" s="1" t="s">
        <v>16</v>
      </c>
      <c r="D19" s="3">
        <v>46024.0</v>
      </c>
      <c r="E19" s="2">
        <v>46026.0</v>
      </c>
      <c r="F19" s="1">
        <v>9180.0</v>
      </c>
    </row>
    <row r="20">
      <c r="A20" s="1" t="s">
        <v>33</v>
      </c>
      <c r="B20" s="1" t="s">
        <v>13</v>
      </c>
      <c r="C20" s="1" t="s">
        <v>16</v>
      </c>
      <c r="D20" s="2">
        <v>46082.0</v>
      </c>
      <c r="E20" s="3">
        <v>46084.0</v>
      </c>
      <c r="F20" s="1">
        <v>8544.0</v>
      </c>
    </row>
    <row r="21">
      <c r="A21" s="1" t="s">
        <v>34</v>
      </c>
      <c r="B21" s="1" t="s">
        <v>13</v>
      </c>
      <c r="C21" s="1" t="s">
        <v>16</v>
      </c>
      <c r="D21" s="2">
        <v>46076.0</v>
      </c>
      <c r="F21" s="1">
        <v>8738.0</v>
      </c>
    </row>
    <row r="22">
      <c r="A22" s="1" t="s">
        <v>35</v>
      </c>
      <c r="B22" s="1" t="s">
        <v>13</v>
      </c>
      <c r="C22" s="1" t="s">
        <v>16</v>
      </c>
      <c r="D22" s="2">
        <v>46064.0</v>
      </c>
      <c r="E22" s="2">
        <v>46066.0</v>
      </c>
      <c r="F22" s="1">
        <v>5373.0</v>
      </c>
    </row>
    <row r="23">
      <c r="A23" s="1" t="s">
        <v>36</v>
      </c>
      <c r="B23" s="1" t="s">
        <v>10</v>
      </c>
      <c r="C23" s="1" t="s">
        <v>14</v>
      </c>
      <c r="D23" s="2">
        <v>46073.0</v>
      </c>
      <c r="E23" s="2">
        <v>46077.0</v>
      </c>
      <c r="F23" s="1">
        <v>5306.0</v>
      </c>
    </row>
    <row r="24">
      <c r="A24" s="1" t="s">
        <v>37</v>
      </c>
      <c r="B24" s="1" t="s">
        <v>10</v>
      </c>
      <c r="C24" s="1" t="s">
        <v>11</v>
      </c>
      <c r="D24" s="2">
        <v>46031.0</v>
      </c>
      <c r="E24" s="2">
        <v>46037.0</v>
      </c>
      <c r="F24" s="1">
        <v>9092.0</v>
      </c>
    </row>
    <row r="25">
      <c r="A25" s="1" t="s">
        <v>38</v>
      </c>
      <c r="B25" s="1" t="s">
        <v>13</v>
      </c>
      <c r="C25" s="1" t="s">
        <v>11</v>
      </c>
      <c r="D25" s="2">
        <v>46041.0</v>
      </c>
      <c r="E25" s="2">
        <v>46047.0</v>
      </c>
      <c r="F25" s="1">
        <v>6413.0</v>
      </c>
    </row>
    <row r="26">
      <c r="A26" s="1" t="s">
        <v>39</v>
      </c>
      <c r="B26" s="1" t="s">
        <v>10</v>
      </c>
      <c r="C26" s="1" t="s">
        <v>11</v>
      </c>
      <c r="D26" s="3">
        <v>46067.0</v>
      </c>
      <c r="E26" s="2">
        <v>46073.0</v>
      </c>
      <c r="F26" s="1">
        <v>7624.0</v>
      </c>
    </row>
    <row r="27">
      <c r="A27" s="1" t="s">
        <v>40</v>
      </c>
      <c r="B27" s="1" t="s">
        <v>13</v>
      </c>
      <c r="C27" s="1" t="s">
        <v>14</v>
      </c>
      <c r="D27" s="2">
        <v>46071.0</v>
      </c>
      <c r="E27" s="2">
        <v>46076.0</v>
      </c>
      <c r="F27" s="1">
        <v>3657.0</v>
      </c>
    </row>
    <row r="28">
      <c r="A28" s="1" t="s">
        <v>41</v>
      </c>
      <c r="B28" s="1" t="s">
        <v>10</v>
      </c>
      <c r="C28" s="1" t="s">
        <v>14</v>
      </c>
      <c r="D28" s="2">
        <v>46053.0</v>
      </c>
      <c r="E28" s="2">
        <v>46057.0</v>
      </c>
      <c r="F28" s="1">
        <v>890.0</v>
      </c>
    </row>
    <row r="29">
      <c r="A29" s="1" t="s">
        <v>42</v>
      </c>
      <c r="B29" s="1" t="s">
        <v>10</v>
      </c>
      <c r="C29" s="1" t="s">
        <v>16</v>
      </c>
      <c r="D29" s="2">
        <v>46062.0</v>
      </c>
      <c r="E29" s="2">
        <v>46064.0</v>
      </c>
      <c r="F29" s="1">
        <v>4930.0</v>
      </c>
    </row>
    <row r="30">
      <c r="A30" s="1" t="s">
        <v>43</v>
      </c>
      <c r="B30" s="1" t="s">
        <v>10</v>
      </c>
      <c r="C30" s="1" t="s">
        <v>14</v>
      </c>
      <c r="D30" s="2">
        <v>46080.0</v>
      </c>
      <c r="E30" s="3">
        <v>46084.0</v>
      </c>
      <c r="F30" s="1">
        <v>9320.0</v>
      </c>
    </row>
    <row r="31">
      <c r="A31" s="1" t="s">
        <v>44</v>
      </c>
      <c r="B31" s="1" t="s">
        <v>10</v>
      </c>
      <c r="C31" s="1" t="s">
        <v>11</v>
      </c>
      <c r="D31" s="2">
        <v>46024.0</v>
      </c>
      <c r="E31" s="2">
        <v>46030.0</v>
      </c>
      <c r="F31" s="1">
        <v>8186.0</v>
      </c>
    </row>
    <row r="32">
      <c r="A32" s="1" t="s">
        <v>45</v>
      </c>
      <c r="B32" s="1" t="s">
        <v>19</v>
      </c>
      <c r="C32" s="1" t="s">
        <v>14</v>
      </c>
      <c r="D32" s="2">
        <v>46036.0</v>
      </c>
      <c r="E32" s="2">
        <v>46040.0</v>
      </c>
      <c r="F32" s="1">
        <v>4732.0</v>
      </c>
    </row>
    <row r="33">
      <c r="A33" s="1" t="s">
        <v>46</v>
      </c>
      <c r="B33" s="1" t="s">
        <v>13</v>
      </c>
      <c r="C33" s="1" t="s">
        <v>11</v>
      </c>
      <c r="D33" s="2">
        <v>46058.0</v>
      </c>
      <c r="E33" s="2">
        <v>46064.0</v>
      </c>
      <c r="F33" s="1">
        <v>11622.0</v>
      </c>
    </row>
    <row r="34">
      <c r="A34" s="1" t="s">
        <v>47</v>
      </c>
      <c r="B34" s="1" t="s">
        <v>19</v>
      </c>
      <c r="C34" s="1" t="s">
        <v>14</v>
      </c>
      <c r="D34" s="2">
        <v>46061.0</v>
      </c>
      <c r="E34" s="2">
        <v>46065.0</v>
      </c>
      <c r="F34" s="1">
        <v>8507.0</v>
      </c>
    </row>
    <row r="35">
      <c r="A35" s="1" t="s">
        <v>48</v>
      </c>
      <c r="B35" s="1" t="s">
        <v>10</v>
      </c>
      <c r="C35" s="1" t="s">
        <v>14</v>
      </c>
      <c r="D35" s="2">
        <v>46050.0</v>
      </c>
      <c r="E35" s="2">
        <v>46057.0</v>
      </c>
      <c r="F35" s="1">
        <v>2021.0</v>
      </c>
    </row>
    <row r="36">
      <c r="A36" s="1" t="s">
        <v>49</v>
      </c>
      <c r="B36" s="1" t="s">
        <v>19</v>
      </c>
      <c r="C36" s="1" t="s">
        <v>11</v>
      </c>
      <c r="D36" s="2">
        <v>46072.0</v>
      </c>
      <c r="E36" s="2">
        <v>46081.0</v>
      </c>
      <c r="F36" s="1">
        <v>9518.0</v>
      </c>
    </row>
    <row r="37">
      <c r="A37" s="1" t="s">
        <v>50</v>
      </c>
      <c r="B37" s="1" t="s">
        <v>13</v>
      </c>
      <c r="C37" s="1" t="s">
        <v>11</v>
      </c>
      <c r="D37" s="2">
        <v>46038.0</v>
      </c>
      <c r="E37" s="2">
        <v>46045.0</v>
      </c>
      <c r="F37" s="1">
        <v>2000.0</v>
      </c>
    </row>
    <row r="38">
      <c r="A38" s="1" t="s">
        <v>51</v>
      </c>
      <c r="B38" s="1" t="s">
        <v>13</v>
      </c>
      <c r="C38" s="1" t="s">
        <v>14</v>
      </c>
      <c r="D38" s="2">
        <v>46030.0</v>
      </c>
      <c r="E38" s="3">
        <v>46034.0</v>
      </c>
      <c r="F38" s="1">
        <v>7237.0</v>
      </c>
    </row>
    <row r="39">
      <c r="A39" s="1" t="s">
        <v>52</v>
      </c>
      <c r="B39" s="1" t="s">
        <v>10</v>
      </c>
      <c r="C39" s="1" t="s">
        <v>14</v>
      </c>
      <c r="D39" s="3">
        <v>46038.0</v>
      </c>
      <c r="E39" s="2">
        <v>46042.0</v>
      </c>
      <c r="F39" s="1">
        <v>3794.0</v>
      </c>
    </row>
    <row r="40">
      <c r="A40" s="1" t="s">
        <v>53</v>
      </c>
      <c r="B40" s="1" t="s">
        <v>19</v>
      </c>
      <c r="C40" s="1" t="s">
        <v>16</v>
      </c>
      <c r="D40" s="3">
        <v>46063.0</v>
      </c>
      <c r="E40" s="2">
        <v>46065.0</v>
      </c>
      <c r="F40" s="1">
        <v>5585.0</v>
      </c>
    </row>
    <row r="41">
      <c r="A41" s="1" t="s">
        <v>54</v>
      </c>
      <c r="B41" s="1" t="s">
        <v>19</v>
      </c>
      <c r="C41" s="1" t="s">
        <v>11</v>
      </c>
      <c r="D41" s="2">
        <v>46062.0</v>
      </c>
      <c r="E41" s="2">
        <v>46068.0</v>
      </c>
      <c r="F41" s="1">
        <v>2919.0</v>
      </c>
    </row>
    <row r="42">
      <c r="A42" s="1" t="s">
        <v>55</v>
      </c>
      <c r="B42" s="1" t="s">
        <v>19</v>
      </c>
      <c r="C42" s="1" t="s">
        <v>16</v>
      </c>
      <c r="D42" s="2">
        <v>46027.0</v>
      </c>
      <c r="E42" s="2">
        <v>46029.0</v>
      </c>
      <c r="F42" s="1">
        <v>9626.0</v>
      </c>
    </row>
    <row r="43">
      <c r="A43" s="1" t="s">
        <v>56</v>
      </c>
      <c r="B43" s="1" t="s">
        <v>13</v>
      </c>
      <c r="C43" s="1" t="s">
        <v>14</v>
      </c>
      <c r="D43" s="3">
        <v>46076.0</v>
      </c>
      <c r="E43" s="2">
        <v>46080.0</v>
      </c>
      <c r="F43" s="1">
        <v>3542.0</v>
      </c>
    </row>
    <row r="44">
      <c r="A44" s="1" t="s">
        <v>57</v>
      </c>
      <c r="B44" s="1" t="s">
        <v>13</v>
      </c>
      <c r="C44" s="1" t="s">
        <v>11</v>
      </c>
      <c r="D44" s="2">
        <v>46061.0</v>
      </c>
      <c r="E44" s="2">
        <v>46067.0</v>
      </c>
      <c r="F44" s="1">
        <v>4997.0</v>
      </c>
    </row>
    <row r="45">
      <c r="A45" s="1" t="s">
        <v>58</v>
      </c>
      <c r="B45" s="1" t="s">
        <v>19</v>
      </c>
      <c r="C45" s="1" t="s">
        <v>14</v>
      </c>
      <c r="D45" s="2">
        <v>46024.0</v>
      </c>
      <c r="E45" s="2">
        <v>46030.0</v>
      </c>
      <c r="F45" s="1">
        <v>1966.0</v>
      </c>
    </row>
    <row r="46">
      <c r="A46" s="1" t="s">
        <v>59</v>
      </c>
      <c r="B46" s="1" t="s">
        <v>13</v>
      </c>
      <c r="C46" s="1" t="s">
        <v>11</v>
      </c>
      <c r="D46" s="3">
        <v>46055.0</v>
      </c>
      <c r="F46" s="1">
        <v>4061.0</v>
      </c>
    </row>
    <row r="47">
      <c r="A47" s="1" t="s">
        <v>60</v>
      </c>
      <c r="B47" s="1" t="s">
        <v>13</v>
      </c>
      <c r="C47" s="1" t="s">
        <v>14</v>
      </c>
      <c r="D47" s="2">
        <v>46038.0</v>
      </c>
      <c r="E47" s="3">
        <v>46042.0</v>
      </c>
      <c r="F47" s="1">
        <v>1114.0</v>
      </c>
    </row>
    <row r="48">
      <c r="A48" s="1" t="s">
        <v>61</v>
      </c>
      <c r="B48" s="1" t="s">
        <v>19</v>
      </c>
      <c r="C48" s="1" t="s">
        <v>16</v>
      </c>
      <c r="D48" s="2">
        <v>46032.0</v>
      </c>
      <c r="E48" s="2">
        <v>46034.0</v>
      </c>
      <c r="F48" s="1">
        <v>5892.0</v>
      </c>
    </row>
    <row r="49">
      <c r="A49" s="1" t="s">
        <v>62</v>
      </c>
      <c r="B49" s="1" t="s">
        <v>13</v>
      </c>
      <c r="C49" s="1" t="s">
        <v>16</v>
      </c>
      <c r="D49" s="2">
        <v>46050.0</v>
      </c>
      <c r="E49" s="3">
        <v>46052.0</v>
      </c>
      <c r="F49" s="1">
        <v>8193.0</v>
      </c>
    </row>
    <row r="50">
      <c r="A50" s="1" t="s">
        <v>63</v>
      </c>
      <c r="B50" s="1" t="s">
        <v>19</v>
      </c>
      <c r="C50" s="1" t="s">
        <v>16</v>
      </c>
      <c r="D50" s="3">
        <v>46062.0</v>
      </c>
      <c r="E50" s="2">
        <v>46064.0</v>
      </c>
      <c r="F50" s="1">
        <v>9874.0</v>
      </c>
    </row>
    <row r="51">
      <c r="A51" s="1" t="s">
        <v>64</v>
      </c>
      <c r="B51" s="1" t="s">
        <v>19</v>
      </c>
      <c r="C51" s="1" t="s">
        <v>11</v>
      </c>
      <c r="D51" s="2">
        <v>46038.0</v>
      </c>
      <c r="E51" s="2">
        <v>46044.0</v>
      </c>
      <c r="F51" s="1">
        <v>3723.0</v>
      </c>
    </row>
    <row r="52">
      <c r="A52" s="1" t="s">
        <v>65</v>
      </c>
      <c r="B52" s="1" t="s">
        <v>10</v>
      </c>
      <c r="C52" s="1" t="s">
        <v>11</v>
      </c>
      <c r="D52" s="2">
        <v>46049.0</v>
      </c>
      <c r="E52" s="3">
        <v>46058.0</v>
      </c>
      <c r="F52" s="1">
        <v>7638.0</v>
      </c>
    </row>
    <row r="53">
      <c r="A53" s="1" t="s">
        <v>66</v>
      </c>
      <c r="B53" s="1" t="s">
        <v>19</v>
      </c>
      <c r="C53" s="1" t="s">
        <v>11</v>
      </c>
      <c r="D53" s="2">
        <v>46065.0</v>
      </c>
      <c r="E53" s="2">
        <v>46072.0</v>
      </c>
      <c r="F53" s="1">
        <v>3167.0</v>
      </c>
    </row>
    <row r="54">
      <c r="A54" s="1" t="s">
        <v>67</v>
      </c>
      <c r="B54" s="1" t="s">
        <v>13</v>
      </c>
      <c r="C54" s="1" t="s">
        <v>16</v>
      </c>
      <c r="D54" s="2">
        <v>46028.0</v>
      </c>
      <c r="E54" s="2">
        <v>46033.0</v>
      </c>
      <c r="F54" s="1">
        <v>8480.0</v>
      </c>
    </row>
    <row r="55">
      <c r="A55" s="1" t="s">
        <v>68</v>
      </c>
      <c r="B55" s="1" t="s">
        <v>10</v>
      </c>
      <c r="C55" s="1" t="s">
        <v>11</v>
      </c>
      <c r="D55" s="2">
        <v>46046.0</v>
      </c>
      <c r="E55" s="2">
        <v>46054.0</v>
      </c>
      <c r="F55" s="1">
        <v>630.0</v>
      </c>
    </row>
    <row r="56">
      <c r="A56" s="1" t="s">
        <v>69</v>
      </c>
      <c r="B56" s="1" t="s">
        <v>19</v>
      </c>
      <c r="C56" s="1" t="s">
        <v>14</v>
      </c>
      <c r="D56" s="2">
        <v>46056.0</v>
      </c>
      <c r="E56" s="2">
        <v>46060.0</v>
      </c>
      <c r="F56" s="1">
        <v>3483.0</v>
      </c>
    </row>
    <row r="57">
      <c r="A57" s="1" t="s">
        <v>70</v>
      </c>
      <c r="B57" s="1" t="s">
        <v>10</v>
      </c>
      <c r="C57" s="1" t="s">
        <v>11</v>
      </c>
      <c r="D57" s="2">
        <v>46055.0</v>
      </c>
      <c r="E57" s="2">
        <v>46064.0</v>
      </c>
      <c r="F57" s="1">
        <v>4778.0</v>
      </c>
    </row>
    <row r="58">
      <c r="A58" s="1" t="s">
        <v>74</v>
      </c>
      <c r="B58" s="1" t="s">
        <v>13</v>
      </c>
      <c r="C58" s="1" t="s">
        <v>16</v>
      </c>
      <c r="D58" s="2">
        <v>46055.0</v>
      </c>
      <c r="E58" s="2">
        <v>46057.0</v>
      </c>
      <c r="F58" s="1">
        <v>7626.0</v>
      </c>
    </row>
    <row r="59">
      <c r="A59" s="1" t="s">
        <v>76</v>
      </c>
      <c r="B59" s="1" t="s">
        <v>19</v>
      </c>
      <c r="C59" s="1" t="s">
        <v>16</v>
      </c>
      <c r="D59" s="2">
        <v>46024.0</v>
      </c>
      <c r="E59" s="2">
        <v>46026.0</v>
      </c>
      <c r="F59" s="1">
        <v>8730.0</v>
      </c>
    </row>
    <row r="60">
      <c r="A60" s="1" t="s">
        <v>77</v>
      </c>
      <c r="B60" s="1" t="s">
        <v>13</v>
      </c>
      <c r="C60" s="1" t="s">
        <v>14</v>
      </c>
      <c r="D60" s="2">
        <v>46078.0</v>
      </c>
      <c r="E60" s="3">
        <v>46082.0</v>
      </c>
      <c r="F60" s="1">
        <v>8194.0</v>
      </c>
    </row>
    <row r="61">
      <c r="A61" s="1" t="s">
        <v>78</v>
      </c>
      <c r="B61" s="1" t="s">
        <v>10</v>
      </c>
      <c r="C61" s="1" t="s">
        <v>11</v>
      </c>
      <c r="D61" s="2">
        <v>46025.0</v>
      </c>
      <c r="E61" s="2">
        <v>46031.0</v>
      </c>
      <c r="F61" s="1">
        <v>7140.0</v>
      </c>
    </row>
    <row r="62">
      <c r="A62" s="1" t="s">
        <v>79</v>
      </c>
      <c r="B62" s="1" t="s">
        <v>19</v>
      </c>
      <c r="C62" s="1" t="s">
        <v>11</v>
      </c>
      <c r="D62" s="2">
        <v>46047.0</v>
      </c>
      <c r="E62" s="2">
        <v>46053.0</v>
      </c>
      <c r="F62" s="1">
        <v>5968.0</v>
      </c>
    </row>
    <row r="63">
      <c r="A63" s="1" t="s">
        <v>80</v>
      </c>
      <c r="B63" s="1" t="s">
        <v>10</v>
      </c>
      <c r="C63" s="1" t="s">
        <v>14</v>
      </c>
      <c r="D63" s="2">
        <v>46039.0</v>
      </c>
      <c r="E63" s="2">
        <v>46043.0</v>
      </c>
      <c r="F63" s="1">
        <v>1420.0</v>
      </c>
    </row>
    <row r="64">
      <c r="A64" s="1" t="s">
        <v>81</v>
      </c>
      <c r="B64" s="1" t="s">
        <v>10</v>
      </c>
      <c r="C64" s="1" t="s">
        <v>14</v>
      </c>
      <c r="D64" s="2">
        <v>46024.0</v>
      </c>
      <c r="E64" s="2">
        <v>46030.0</v>
      </c>
      <c r="F64" s="1">
        <v>8064.0</v>
      </c>
    </row>
    <row r="65">
      <c r="A65" s="1" t="s">
        <v>82</v>
      </c>
      <c r="B65" s="1" t="s">
        <v>19</v>
      </c>
      <c r="C65" s="1" t="s">
        <v>16</v>
      </c>
      <c r="D65" s="2">
        <v>46073.0</v>
      </c>
      <c r="E65" s="2">
        <v>46075.0</v>
      </c>
      <c r="F65" s="1">
        <v>11461.0</v>
      </c>
    </row>
    <row r="66">
      <c r="A66" s="1" t="s">
        <v>83</v>
      </c>
      <c r="B66" s="1" t="s">
        <v>10</v>
      </c>
      <c r="C66" s="1" t="s">
        <v>11</v>
      </c>
      <c r="D66" s="3">
        <v>46045.0</v>
      </c>
      <c r="F66" s="1">
        <v>9184.0</v>
      </c>
    </row>
    <row r="67">
      <c r="A67" s="1" t="s">
        <v>84</v>
      </c>
      <c r="B67" s="1" t="s">
        <v>13</v>
      </c>
      <c r="C67" s="1" t="s">
        <v>14</v>
      </c>
      <c r="D67" s="2">
        <v>46069.0</v>
      </c>
      <c r="E67" s="2">
        <v>46073.0</v>
      </c>
      <c r="F67" s="1">
        <v>9823.0</v>
      </c>
    </row>
    <row r="68">
      <c r="A68" s="1" t="s">
        <v>85</v>
      </c>
      <c r="B68" s="1" t="s">
        <v>10</v>
      </c>
      <c r="C68" s="1" t="s">
        <v>11</v>
      </c>
      <c r="D68" s="3">
        <v>46063.0</v>
      </c>
      <c r="E68" s="2">
        <v>46069.0</v>
      </c>
      <c r="F68" s="1">
        <v>9002.0</v>
      </c>
    </row>
    <row r="69">
      <c r="A69" s="1" t="s">
        <v>86</v>
      </c>
      <c r="B69" s="1" t="s">
        <v>13</v>
      </c>
      <c r="C69" s="1" t="s">
        <v>14</v>
      </c>
      <c r="D69" s="2">
        <v>46072.0</v>
      </c>
      <c r="E69" s="3">
        <v>46077.0</v>
      </c>
      <c r="F69" s="1">
        <v>9430.0</v>
      </c>
    </row>
    <row r="70">
      <c r="A70" s="1" t="s">
        <v>87</v>
      </c>
      <c r="B70" s="1" t="s">
        <v>13</v>
      </c>
      <c r="C70" s="1" t="s">
        <v>16</v>
      </c>
      <c r="D70" s="2">
        <v>46070.0</v>
      </c>
      <c r="F70" s="1">
        <v>3741.0</v>
      </c>
    </row>
    <row r="71">
      <c r="A71" s="1" t="s">
        <v>88</v>
      </c>
      <c r="B71" s="1" t="s">
        <v>10</v>
      </c>
      <c r="C71" s="1" t="s">
        <v>14</v>
      </c>
      <c r="D71" s="3">
        <v>46044.0</v>
      </c>
      <c r="E71" s="2">
        <v>46053.0</v>
      </c>
      <c r="F71" s="1">
        <v>1045.0</v>
      </c>
    </row>
    <row r="72">
      <c r="A72" s="1" t="s">
        <v>89</v>
      </c>
      <c r="B72" s="1" t="s">
        <v>13</v>
      </c>
      <c r="C72" s="1" t="s">
        <v>14</v>
      </c>
      <c r="D72" s="2">
        <v>46025.0</v>
      </c>
      <c r="E72" s="3">
        <v>46030.0</v>
      </c>
      <c r="F72" s="1">
        <v>11153.0</v>
      </c>
    </row>
    <row r="73">
      <c r="A73" s="1" t="s">
        <v>90</v>
      </c>
      <c r="B73" s="1" t="s">
        <v>19</v>
      </c>
      <c r="C73" s="1" t="s">
        <v>14</v>
      </c>
      <c r="D73" s="2">
        <v>46057.0</v>
      </c>
      <c r="E73" s="2">
        <v>46061.0</v>
      </c>
      <c r="F73" s="1">
        <v>4846.0</v>
      </c>
    </row>
    <row r="74">
      <c r="A74" s="1" t="s">
        <v>91</v>
      </c>
      <c r="B74" s="1" t="s">
        <v>13</v>
      </c>
      <c r="C74" s="1" t="s">
        <v>14</v>
      </c>
      <c r="D74" s="2">
        <v>46075.0</v>
      </c>
      <c r="E74" s="2">
        <v>46079.0</v>
      </c>
      <c r="F74" s="1">
        <v>10496.0</v>
      </c>
    </row>
    <row r="75">
      <c r="A75" s="1" t="s">
        <v>92</v>
      </c>
      <c r="B75" s="1" t="s">
        <v>13</v>
      </c>
      <c r="C75" s="1" t="s">
        <v>14</v>
      </c>
      <c r="D75" s="2">
        <v>46034.0</v>
      </c>
      <c r="E75" s="2">
        <v>46039.0</v>
      </c>
      <c r="F75" s="1">
        <v>11904.0</v>
      </c>
    </row>
    <row r="76">
      <c r="A76" s="1" t="s">
        <v>93</v>
      </c>
      <c r="B76" s="1" t="s">
        <v>13</v>
      </c>
      <c r="C76" s="1" t="s">
        <v>11</v>
      </c>
      <c r="D76" s="3">
        <v>46066.0</v>
      </c>
      <c r="E76" s="2">
        <v>46073.0</v>
      </c>
      <c r="F76" s="1">
        <v>4310.0</v>
      </c>
    </row>
    <row r="77">
      <c r="A77" s="1" t="s">
        <v>94</v>
      </c>
      <c r="B77" s="1" t="s">
        <v>19</v>
      </c>
      <c r="C77" s="1" t="s">
        <v>16</v>
      </c>
      <c r="D77" s="3">
        <v>46067.0</v>
      </c>
      <c r="E77" s="2">
        <v>46070.0</v>
      </c>
      <c r="F77" s="1">
        <v>7706.0</v>
      </c>
    </row>
    <row r="78">
      <c r="A78" s="1" t="s">
        <v>95</v>
      </c>
      <c r="B78" s="1" t="s">
        <v>19</v>
      </c>
      <c r="C78" s="1" t="s">
        <v>16</v>
      </c>
      <c r="D78" s="2">
        <v>46063.0</v>
      </c>
      <c r="E78" s="2">
        <v>46066.0</v>
      </c>
      <c r="F78" s="1">
        <v>9505.0</v>
      </c>
    </row>
    <row r="79">
      <c r="A79" s="1" t="s">
        <v>96</v>
      </c>
      <c r="B79" s="1" t="s">
        <v>19</v>
      </c>
      <c r="C79" s="1" t="s">
        <v>14</v>
      </c>
      <c r="D79" s="2">
        <v>46074.0</v>
      </c>
      <c r="E79" s="2">
        <v>46078.0</v>
      </c>
      <c r="F79" s="1">
        <v>2532.0</v>
      </c>
    </row>
    <row r="80">
      <c r="A80" s="1" t="s">
        <v>97</v>
      </c>
      <c r="B80" s="1" t="s">
        <v>10</v>
      </c>
      <c r="C80" s="1" t="s">
        <v>14</v>
      </c>
      <c r="D80" s="3">
        <v>46027.0</v>
      </c>
      <c r="E80" s="2">
        <v>46031.0</v>
      </c>
      <c r="F80" s="1">
        <v>8936.0</v>
      </c>
    </row>
    <row r="81">
      <c r="A81" s="1" t="s">
        <v>98</v>
      </c>
      <c r="B81" s="1" t="s">
        <v>19</v>
      </c>
      <c r="C81" s="1" t="s">
        <v>11</v>
      </c>
      <c r="D81" s="2">
        <v>46072.0</v>
      </c>
      <c r="E81" s="3">
        <v>46078.0</v>
      </c>
      <c r="F81" s="1">
        <v>771.0</v>
      </c>
    </row>
    <row r="82">
      <c r="A82" s="1" t="s">
        <v>99</v>
      </c>
      <c r="B82" s="1" t="s">
        <v>13</v>
      </c>
      <c r="C82" s="1" t="s">
        <v>14</v>
      </c>
      <c r="D82" s="2">
        <v>46025.0</v>
      </c>
      <c r="E82" s="2">
        <v>46031.0</v>
      </c>
      <c r="F82" s="1">
        <v>4011.0</v>
      </c>
    </row>
    <row r="83">
      <c r="A83" s="1" t="s">
        <v>100</v>
      </c>
      <c r="B83" s="1" t="s">
        <v>19</v>
      </c>
      <c r="C83" s="1" t="s">
        <v>14</v>
      </c>
      <c r="D83" s="3">
        <v>46035.0</v>
      </c>
      <c r="E83" s="2">
        <v>46039.0</v>
      </c>
      <c r="F83" s="1">
        <v>2271.0</v>
      </c>
    </row>
    <row r="84">
      <c r="A84" s="1" t="s">
        <v>101</v>
      </c>
      <c r="B84" s="1" t="s">
        <v>19</v>
      </c>
      <c r="C84" s="1" t="s">
        <v>11</v>
      </c>
      <c r="D84" s="2">
        <v>46073.0</v>
      </c>
      <c r="E84" s="2">
        <v>46079.0</v>
      </c>
      <c r="F84" s="1">
        <v>9954.0</v>
      </c>
    </row>
    <row r="85">
      <c r="A85" s="1" t="s">
        <v>102</v>
      </c>
      <c r="B85" s="1" t="s">
        <v>13</v>
      </c>
      <c r="C85" s="1" t="s">
        <v>14</v>
      </c>
      <c r="D85" s="2">
        <v>46079.0</v>
      </c>
      <c r="E85" s="2">
        <v>46083.0</v>
      </c>
      <c r="F85" s="1">
        <v>11116.0</v>
      </c>
    </row>
    <row r="86">
      <c r="A86" s="1" t="s">
        <v>103</v>
      </c>
      <c r="B86" s="1" t="s">
        <v>10</v>
      </c>
      <c r="C86" s="1" t="s">
        <v>11</v>
      </c>
      <c r="D86" s="3">
        <v>46043.0</v>
      </c>
      <c r="E86" s="2">
        <v>46049.0</v>
      </c>
      <c r="F86" s="1">
        <v>4861.0</v>
      </c>
    </row>
    <row r="87">
      <c r="A87" s="1" t="s">
        <v>104</v>
      </c>
      <c r="B87" s="1" t="s">
        <v>19</v>
      </c>
      <c r="C87" s="1" t="s">
        <v>16</v>
      </c>
      <c r="D87" s="2">
        <v>46055.0</v>
      </c>
      <c r="E87" s="2">
        <v>46057.0</v>
      </c>
      <c r="F87" s="1">
        <v>7569.0</v>
      </c>
    </row>
    <row r="88">
      <c r="A88" s="1" t="s">
        <v>105</v>
      </c>
      <c r="B88" s="1" t="s">
        <v>10</v>
      </c>
      <c r="C88" s="1" t="s">
        <v>14</v>
      </c>
      <c r="D88" s="3">
        <v>46075.0</v>
      </c>
      <c r="E88" s="2">
        <v>46080.0</v>
      </c>
      <c r="F88" s="1">
        <v>1420.0</v>
      </c>
    </row>
    <row r="89">
      <c r="A89" s="1" t="s">
        <v>106</v>
      </c>
      <c r="B89" s="1" t="s">
        <v>10</v>
      </c>
      <c r="C89" s="1" t="s">
        <v>16</v>
      </c>
      <c r="D89" s="2">
        <v>46053.0</v>
      </c>
      <c r="E89" s="2">
        <v>46055.0</v>
      </c>
      <c r="F89" s="1">
        <v>8690.0</v>
      </c>
    </row>
    <row r="90">
      <c r="A90" s="1" t="s">
        <v>107</v>
      </c>
      <c r="B90" s="1" t="s">
        <v>10</v>
      </c>
      <c r="C90" s="1" t="s">
        <v>14</v>
      </c>
      <c r="D90" s="3">
        <v>46025.0</v>
      </c>
      <c r="E90" s="2">
        <v>46031.0</v>
      </c>
      <c r="F90" s="1">
        <v>3930.0</v>
      </c>
    </row>
    <row r="91">
      <c r="A91" s="1" t="s">
        <v>108</v>
      </c>
      <c r="B91" s="1" t="s">
        <v>13</v>
      </c>
      <c r="C91" s="1" t="s">
        <v>14</v>
      </c>
      <c r="D91" s="2">
        <v>46064.0</v>
      </c>
      <c r="E91" s="2">
        <v>46068.0</v>
      </c>
      <c r="F91" s="1">
        <v>4935.0</v>
      </c>
    </row>
    <row r="92">
      <c r="A92" s="1" t="s">
        <v>109</v>
      </c>
      <c r="B92" s="1" t="s">
        <v>10</v>
      </c>
      <c r="C92" s="1" t="s">
        <v>14</v>
      </c>
      <c r="D92" s="2">
        <v>46041.0</v>
      </c>
      <c r="E92" s="2">
        <v>46045.0</v>
      </c>
      <c r="F92" s="1">
        <v>11316.0</v>
      </c>
    </row>
    <row r="93">
      <c r="A93" s="1" t="s">
        <v>110</v>
      </c>
      <c r="B93" s="1" t="s">
        <v>10</v>
      </c>
      <c r="C93" s="1" t="s">
        <v>16</v>
      </c>
      <c r="D93" s="2">
        <v>46078.0</v>
      </c>
      <c r="E93" s="2">
        <v>46081.0</v>
      </c>
      <c r="F93" s="1">
        <v>4260.0</v>
      </c>
    </row>
    <row r="94">
      <c r="A94" s="1" t="s">
        <v>111</v>
      </c>
      <c r="B94" s="1" t="s">
        <v>13</v>
      </c>
      <c r="C94" s="1" t="s">
        <v>14</v>
      </c>
      <c r="D94" s="2">
        <v>46026.0</v>
      </c>
      <c r="E94" s="3">
        <v>46031.0</v>
      </c>
      <c r="F94" s="1">
        <v>2550.0</v>
      </c>
    </row>
    <row r="95">
      <c r="A95" s="1" t="s">
        <v>112</v>
      </c>
      <c r="B95" s="1" t="s">
        <v>10</v>
      </c>
      <c r="C95" s="1" t="s">
        <v>11</v>
      </c>
      <c r="D95" s="2">
        <v>46044.0</v>
      </c>
      <c r="E95" s="2">
        <v>46050.0</v>
      </c>
      <c r="F95" s="1">
        <v>1665.0</v>
      </c>
    </row>
    <row r="96">
      <c r="A96" s="1" t="s">
        <v>113</v>
      </c>
      <c r="B96" s="1" t="s">
        <v>10</v>
      </c>
      <c r="C96" s="1" t="s">
        <v>16</v>
      </c>
      <c r="D96" s="2">
        <v>46030.0</v>
      </c>
      <c r="E96" s="2">
        <v>46033.0</v>
      </c>
      <c r="F96" s="1">
        <v>9067.0</v>
      </c>
    </row>
    <row r="97">
      <c r="A97" s="1" t="s">
        <v>114</v>
      </c>
      <c r="B97" s="1" t="s">
        <v>13</v>
      </c>
      <c r="C97" s="1" t="s">
        <v>11</v>
      </c>
      <c r="D97" s="2">
        <v>46046.0</v>
      </c>
      <c r="E97" s="2">
        <v>46052.0</v>
      </c>
      <c r="F97" s="1">
        <v>2533.0</v>
      </c>
    </row>
    <row r="98">
      <c r="A98" s="1" t="s">
        <v>115</v>
      </c>
      <c r="B98" s="1" t="s">
        <v>13</v>
      </c>
      <c r="C98" s="1" t="s">
        <v>11</v>
      </c>
      <c r="D98" s="2">
        <v>46079.0</v>
      </c>
      <c r="E98" s="2">
        <v>46085.0</v>
      </c>
      <c r="F98" s="1">
        <v>6967.0</v>
      </c>
    </row>
    <row r="99">
      <c r="A99" s="1" t="s">
        <v>116</v>
      </c>
      <c r="B99" s="1" t="s">
        <v>19</v>
      </c>
      <c r="C99" s="1" t="s">
        <v>14</v>
      </c>
      <c r="D99" s="3">
        <v>46070.0</v>
      </c>
      <c r="E99" s="2">
        <v>46074.0</v>
      </c>
      <c r="F99" s="1">
        <v>645.0</v>
      </c>
    </row>
    <row r="100">
      <c r="A100" s="1" t="s">
        <v>117</v>
      </c>
      <c r="B100" s="1" t="s">
        <v>19</v>
      </c>
      <c r="C100" s="1" t="s">
        <v>14</v>
      </c>
      <c r="D100" s="3">
        <v>46080.0</v>
      </c>
      <c r="F100" s="1">
        <v>4888.0</v>
      </c>
    </row>
    <row r="101">
      <c r="A101" s="1" t="s">
        <v>118</v>
      </c>
      <c r="B101" s="1" t="s">
        <v>19</v>
      </c>
      <c r="C101" s="1" t="s">
        <v>16</v>
      </c>
      <c r="D101" s="2">
        <v>46044.0</v>
      </c>
      <c r="E101" s="2">
        <v>46046.0</v>
      </c>
      <c r="F101" s="1">
        <v>8332.0</v>
      </c>
    </row>
    <row r="102">
      <c r="A102" s="1" t="s">
        <v>119</v>
      </c>
      <c r="B102" s="1" t="s">
        <v>10</v>
      </c>
      <c r="C102" s="1" t="s">
        <v>16</v>
      </c>
      <c r="D102" s="2">
        <v>46054.0</v>
      </c>
      <c r="E102" s="2">
        <v>46056.0</v>
      </c>
      <c r="F102" s="1">
        <v>9123.0</v>
      </c>
    </row>
    <row r="103">
      <c r="A103" s="1" t="s">
        <v>120</v>
      </c>
      <c r="B103" s="1" t="s">
        <v>10</v>
      </c>
      <c r="C103" s="1" t="s">
        <v>11</v>
      </c>
      <c r="D103" s="2">
        <v>46054.0</v>
      </c>
      <c r="E103" s="2">
        <v>46060.0</v>
      </c>
      <c r="F103" s="1">
        <v>9396.0</v>
      </c>
    </row>
    <row r="104">
      <c r="A104" s="1" t="s">
        <v>121</v>
      </c>
      <c r="B104" s="1" t="s">
        <v>10</v>
      </c>
      <c r="C104" s="1" t="s">
        <v>14</v>
      </c>
      <c r="D104" s="2">
        <v>46082.0</v>
      </c>
      <c r="E104" s="2">
        <v>46086.0</v>
      </c>
      <c r="F104" s="1">
        <v>8673.0</v>
      </c>
    </row>
    <row r="105">
      <c r="A105" s="1" t="s">
        <v>122</v>
      </c>
      <c r="B105" s="1" t="s">
        <v>13</v>
      </c>
      <c r="C105" s="1" t="s">
        <v>11</v>
      </c>
      <c r="D105" s="2">
        <v>46056.0</v>
      </c>
      <c r="E105" s="2">
        <v>46062.0</v>
      </c>
      <c r="F105" s="1">
        <v>3132.0</v>
      </c>
    </row>
    <row r="106">
      <c r="A106" s="1" t="s">
        <v>123</v>
      </c>
      <c r="B106" s="1" t="s">
        <v>10</v>
      </c>
      <c r="C106" s="1" t="s">
        <v>14</v>
      </c>
      <c r="D106" s="3">
        <v>46074.0</v>
      </c>
      <c r="E106" s="2">
        <v>46080.0</v>
      </c>
      <c r="F106" s="1">
        <v>4994.0</v>
      </c>
    </row>
    <row r="107">
      <c r="A107" s="1" t="s">
        <v>124</v>
      </c>
      <c r="B107" s="1" t="s">
        <v>19</v>
      </c>
      <c r="C107" s="1" t="s">
        <v>11</v>
      </c>
      <c r="D107" s="2">
        <v>46069.0</v>
      </c>
      <c r="E107" s="2">
        <v>46075.0</v>
      </c>
      <c r="F107" s="1">
        <v>8556.0</v>
      </c>
    </row>
    <row r="108">
      <c r="A108" s="1" t="s">
        <v>125</v>
      </c>
      <c r="B108" s="1" t="s">
        <v>13</v>
      </c>
      <c r="C108" s="1" t="s">
        <v>14</v>
      </c>
      <c r="D108" s="3">
        <v>46028.0</v>
      </c>
      <c r="E108" s="2">
        <v>46032.0</v>
      </c>
      <c r="F108" s="1">
        <v>8011.0</v>
      </c>
    </row>
    <row r="109">
      <c r="A109" s="1" t="s">
        <v>126</v>
      </c>
      <c r="B109" s="1" t="s">
        <v>13</v>
      </c>
      <c r="C109" s="1" t="s">
        <v>16</v>
      </c>
      <c r="D109" s="2">
        <v>46061.0</v>
      </c>
      <c r="E109" s="2">
        <v>46064.0</v>
      </c>
      <c r="F109" s="1">
        <v>9655.0</v>
      </c>
    </row>
    <row r="110">
      <c r="A110" s="1" t="s">
        <v>127</v>
      </c>
      <c r="B110" s="1" t="s">
        <v>13</v>
      </c>
      <c r="C110" s="1" t="s">
        <v>16</v>
      </c>
      <c r="D110" s="2">
        <v>46057.0</v>
      </c>
      <c r="E110" s="2">
        <v>46059.0</v>
      </c>
      <c r="F110" s="1">
        <v>10926.0</v>
      </c>
    </row>
    <row r="111">
      <c r="A111" s="1" t="s">
        <v>128</v>
      </c>
      <c r="B111" s="1" t="s">
        <v>19</v>
      </c>
      <c r="C111" s="1" t="s">
        <v>14</v>
      </c>
      <c r="D111" s="2">
        <v>46043.0</v>
      </c>
      <c r="E111" s="2">
        <v>46047.0</v>
      </c>
      <c r="F111" s="1">
        <v>10733.0</v>
      </c>
    </row>
    <row r="112">
      <c r="A112" s="1" t="s">
        <v>129</v>
      </c>
      <c r="B112" s="1" t="s">
        <v>19</v>
      </c>
      <c r="C112" s="1" t="s">
        <v>11</v>
      </c>
      <c r="D112" s="2">
        <v>46028.0</v>
      </c>
      <c r="E112" s="2">
        <v>46034.0</v>
      </c>
      <c r="F112" s="1">
        <v>2328.0</v>
      </c>
    </row>
    <row r="113">
      <c r="A113" s="1" t="s">
        <v>130</v>
      </c>
      <c r="B113" s="1" t="s">
        <v>19</v>
      </c>
      <c r="C113" s="1" t="s">
        <v>16</v>
      </c>
      <c r="D113" s="2">
        <v>46065.0</v>
      </c>
      <c r="E113" s="2">
        <v>46067.0</v>
      </c>
      <c r="F113" s="1">
        <v>10800.0</v>
      </c>
    </row>
    <row r="114">
      <c r="A114" s="1" t="s">
        <v>131</v>
      </c>
      <c r="B114" s="1" t="s">
        <v>13</v>
      </c>
      <c r="C114" s="1" t="s">
        <v>14</v>
      </c>
      <c r="D114" s="2">
        <v>46042.0</v>
      </c>
      <c r="E114" s="2">
        <v>46049.0</v>
      </c>
      <c r="F114" s="1">
        <v>9630.0</v>
      </c>
    </row>
    <row r="115">
      <c r="A115" s="1" t="s">
        <v>132</v>
      </c>
      <c r="B115" s="1" t="s">
        <v>13</v>
      </c>
      <c r="C115" s="1" t="s">
        <v>14</v>
      </c>
      <c r="D115" s="2">
        <v>46061.0</v>
      </c>
      <c r="F115" s="1">
        <v>5305.0</v>
      </c>
    </row>
    <row r="116">
      <c r="A116" s="1" t="s">
        <v>133</v>
      </c>
      <c r="B116" s="1" t="s">
        <v>10</v>
      </c>
      <c r="C116" s="1" t="s">
        <v>11</v>
      </c>
      <c r="D116" s="2">
        <v>46050.0</v>
      </c>
      <c r="E116" s="2">
        <v>46056.0</v>
      </c>
      <c r="F116" s="1">
        <v>1306.0</v>
      </c>
    </row>
    <row r="117">
      <c r="A117" s="1" t="s">
        <v>134</v>
      </c>
      <c r="B117" s="1" t="s">
        <v>10</v>
      </c>
      <c r="C117" s="1" t="s">
        <v>14</v>
      </c>
      <c r="D117" s="2">
        <v>46067.0</v>
      </c>
      <c r="E117" s="2">
        <v>46073.0</v>
      </c>
      <c r="F117" s="1">
        <v>10155.0</v>
      </c>
    </row>
    <row r="118">
      <c r="A118" s="1" t="s">
        <v>135</v>
      </c>
      <c r="B118" s="1" t="s">
        <v>19</v>
      </c>
      <c r="C118" s="1" t="s">
        <v>16</v>
      </c>
      <c r="D118" s="2">
        <v>46045.0</v>
      </c>
      <c r="E118" s="2">
        <v>46048.0</v>
      </c>
      <c r="F118" s="1">
        <v>7986.0</v>
      </c>
    </row>
    <row r="119">
      <c r="A119" s="1" t="s">
        <v>136</v>
      </c>
      <c r="B119" s="1" t="s">
        <v>13</v>
      </c>
      <c r="C119" s="1" t="s">
        <v>16</v>
      </c>
      <c r="D119" s="2">
        <v>46025.0</v>
      </c>
      <c r="E119" s="2">
        <v>46027.0</v>
      </c>
      <c r="F119" s="1">
        <v>8702.0</v>
      </c>
    </row>
    <row r="120">
      <c r="A120" s="1" t="s">
        <v>137</v>
      </c>
      <c r="B120" s="1" t="s">
        <v>10</v>
      </c>
      <c r="C120" s="1" t="s">
        <v>11</v>
      </c>
      <c r="D120" s="2">
        <v>46078.0</v>
      </c>
      <c r="E120" s="2">
        <v>46086.0</v>
      </c>
      <c r="F120" s="1">
        <v>2368.0</v>
      </c>
    </row>
    <row r="121">
      <c r="A121" s="1" t="s">
        <v>138</v>
      </c>
      <c r="B121" s="1" t="s">
        <v>19</v>
      </c>
      <c r="C121" s="1" t="s">
        <v>11</v>
      </c>
      <c r="D121" s="3">
        <v>46062.0</v>
      </c>
      <c r="E121" s="2">
        <v>46068.0</v>
      </c>
      <c r="F121" s="1">
        <v>8378.0</v>
      </c>
    </row>
    <row r="122">
      <c r="A122" s="1" t="s">
        <v>139</v>
      </c>
      <c r="B122" s="1" t="s">
        <v>19</v>
      </c>
      <c r="C122" s="1" t="s">
        <v>16</v>
      </c>
      <c r="D122" s="2">
        <v>46040.0</v>
      </c>
      <c r="E122" s="2">
        <v>46043.0</v>
      </c>
      <c r="F122" s="1">
        <v>6190.0</v>
      </c>
    </row>
    <row r="123">
      <c r="A123" s="1" t="s">
        <v>140</v>
      </c>
      <c r="B123" s="1" t="s">
        <v>10</v>
      </c>
      <c r="C123" s="1" t="s">
        <v>11</v>
      </c>
      <c r="D123" s="2">
        <v>46073.0</v>
      </c>
      <c r="E123" s="2">
        <v>46081.0</v>
      </c>
      <c r="F123" s="1">
        <v>8327.0</v>
      </c>
    </row>
    <row r="124">
      <c r="A124" s="1" t="s">
        <v>141</v>
      </c>
      <c r="B124" s="1" t="s">
        <v>19</v>
      </c>
      <c r="C124" s="1" t="s">
        <v>16</v>
      </c>
      <c r="D124" s="2">
        <v>46027.0</v>
      </c>
      <c r="E124" s="2">
        <v>46029.0</v>
      </c>
      <c r="F124" s="1">
        <v>5929.0</v>
      </c>
    </row>
    <row r="125">
      <c r="A125" s="1" t="s">
        <v>142</v>
      </c>
      <c r="B125" s="1" t="s">
        <v>13</v>
      </c>
      <c r="C125" s="1" t="s">
        <v>14</v>
      </c>
      <c r="D125" s="3">
        <v>46063.0</v>
      </c>
      <c r="E125" s="2">
        <v>46067.0</v>
      </c>
      <c r="F125" s="1">
        <v>9576.0</v>
      </c>
    </row>
    <row r="126">
      <c r="A126" s="1" t="s">
        <v>143</v>
      </c>
      <c r="B126" s="1" t="s">
        <v>19</v>
      </c>
      <c r="C126" s="1" t="s">
        <v>11</v>
      </c>
      <c r="D126" s="2">
        <v>46046.0</v>
      </c>
      <c r="E126" s="2">
        <v>46052.0</v>
      </c>
      <c r="F126" s="1">
        <v>4064.0</v>
      </c>
    </row>
    <row r="127">
      <c r="A127" s="1" t="s">
        <v>144</v>
      </c>
      <c r="B127" s="1" t="s">
        <v>13</v>
      </c>
      <c r="C127" s="1" t="s">
        <v>16</v>
      </c>
      <c r="D127" s="2">
        <v>46074.0</v>
      </c>
      <c r="E127" s="3">
        <v>46076.0</v>
      </c>
      <c r="F127" s="1">
        <v>1889.0</v>
      </c>
    </row>
    <row r="128">
      <c r="A128" s="1" t="s">
        <v>145</v>
      </c>
      <c r="B128" s="1" t="s">
        <v>13</v>
      </c>
      <c r="C128" s="1" t="s">
        <v>11</v>
      </c>
      <c r="D128" s="2">
        <v>46066.0</v>
      </c>
      <c r="E128" s="3">
        <v>46073.0</v>
      </c>
      <c r="F128" s="1">
        <v>7774.0</v>
      </c>
    </row>
    <row r="129">
      <c r="A129" s="1" t="s">
        <v>146</v>
      </c>
      <c r="B129" s="1" t="s">
        <v>10</v>
      </c>
      <c r="C129" s="1" t="s">
        <v>14</v>
      </c>
      <c r="D129" s="2">
        <v>46083.0</v>
      </c>
      <c r="E129" s="2">
        <v>46089.0</v>
      </c>
      <c r="F129" s="1">
        <v>1324.0</v>
      </c>
    </row>
    <row r="130">
      <c r="A130" s="1" t="s">
        <v>147</v>
      </c>
      <c r="B130" s="1" t="s">
        <v>10</v>
      </c>
      <c r="C130" s="1" t="s">
        <v>16</v>
      </c>
      <c r="D130" s="2">
        <v>46032.0</v>
      </c>
      <c r="E130" s="2">
        <v>46034.0</v>
      </c>
      <c r="F130" s="1">
        <v>2765.0</v>
      </c>
    </row>
    <row r="131">
      <c r="A131" s="1" t="s">
        <v>148</v>
      </c>
      <c r="B131" s="1" t="s">
        <v>10</v>
      </c>
      <c r="C131" s="1" t="s">
        <v>16</v>
      </c>
      <c r="D131" s="2">
        <v>46066.0</v>
      </c>
      <c r="E131" s="2">
        <v>46068.0</v>
      </c>
      <c r="F131" s="1">
        <v>1436.0</v>
      </c>
    </row>
    <row r="132">
      <c r="A132" s="1" t="s">
        <v>149</v>
      </c>
      <c r="B132" s="1" t="s">
        <v>19</v>
      </c>
      <c r="C132" s="1" t="s">
        <v>16</v>
      </c>
      <c r="D132" s="3">
        <v>46051.0</v>
      </c>
      <c r="E132" s="2">
        <v>46053.0</v>
      </c>
      <c r="F132" s="1">
        <v>11492.0</v>
      </c>
    </row>
    <row r="133">
      <c r="A133" s="1" t="s">
        <v>150</v>
      </c>
      <c r="B133" s="1" t="s">
        <v>10</v>
      </c>
      <c r="C133" s="1" t="s">
        <v>14</v>
      </c>
      <c r="D133" s="2">
        <v>46031.0</v>
      </c>
      <c r="E133" s="2">
        <v>46035.0</v>
      </c>
      <c r="F133" s="1">
        <v>11245.0</v>
      </c>
    </row>
    <row r="134">
      <c r="A134" s="1" t="s">
        <v>151</v>
      </c>
      <c r="B134" s="1" t="s">
        <v>10</v>
      </c>
      <c r="C134" s="1" t="s">
        <v>16</v>
      </c>
      <c r="D134" s="2">
        <v>46038.0</v>
      </c>
      <c r="F134" s="1">
        <v>6902.0</v>
      </c>
    </row>
    <row r="135">
      <c r="A135" s="1" t="s">
        <v>152</v>
      </c>
      <c r="B135" s="1" t="s">
        <v>19</v>
      </c>
      <c r="C135" s="1" t="s">
        <v>11</v>
      </c>
      <c r="D135" s="2">
        <v>46064.0</v>
      </c>
      <c r="E135" s="2">
        <v>46070.0</v>
      </c>
      <c r="F135" s="1">
        <v>4345.0</v>
      </c>
    </row>
    <row r="136">
      <c r="A136" s="1" t="s">
        <v>153</v>
      </c>
      <c r="B136" s="1" t="s">
        <v>10</v>
      </c>
      <c r="C136" s="1" t="s">
        <v>16</v>
      </c>
      <c r="D136" s="2">
        <v>46046.0</v>
      </c>
      <c r="E136" s="2">
        <v>46051.0</v>
      </c>
      <c r="F136" s="1">
        <v>2296.0</v>
      </c>
    </row>
    <row r="137">
      <c r="A137" s="1" t="s">
        <v>154</v>
      </c>
      <c r="B137" s="1" t="s">
        <v>19</v>
      </c>
      <c r="C137" s="1" t="s">
        <v>14</v>
      </c>
      <c r="D137" s="2">
        <v>46083.0</v>
      </c>
      <c r="E137" s="2">
        <v>46087.0</v>
      </c>
      <c r="F137" s="1">
        <v>8745.0</v>
      </c>
    </row>
    <row r="138">
      <c r="A138" s="1" t="s">
        <v>155</v>
      </c>
      <c r="B138" s="1" t="s">
        <v>19</v>
      </c>
      <c r="C138" s="1" t="s">
        <v>11</v>
      </c>
      <c r="D138" s="2">
        <v>46025.0</v>
      </c>
      <c r="E138" s="2">
        <v>46031.0</v>
      </c>
      <c r="F138" s="1">
        <v>7714.0</v>
      </c>
    </row>
    <row r="139">
      <c r="A139" s="1" t="s">
        <v>156</v>
      </c>
      <c r="B139" s="1" t="s">
        <v>13</v>
      </c>
      <c r="C139" s="1" t="s">
        <v>14</v>
      </c>
      <c r="D139" s="2">
        <v>46032.0</v>
      </c>
      <c r="E139" s="3">
        <v>46037.0</v>
      </c>
      <c r="F139" s="1">
        <v>1226.0</v>
      </c>
    </row>
    <row r="140">
      <c r="A140" s="1" t="s">
        <v>157</v>
      </c>
      <c r="B140" s="1" t="s">
        <v>13</v>
      </c>
      <c r="C140" s="1" t="s">
        <v>11</v>
      </c>
      <c r="D140" s="3">
        <v>46051.0</v>
      </c>
      <c r="E140" s="2">
        <v>46057.0</v>
      </c>
      <c r="F140" s="1">
        <v>3236.0</v>
      </c>
    </row>
    <row r="141">
      <c r="A141" s="1" t="s">
        <v>158</v>
      </c>
      <c r="B141" s="1" t="s">
        <v>10</v>
      </c>
      <c r="C141" s="1" t="s">
        <v>11</v>
      </c>
      <c r="D141" s="3">
        <v>46046.0</v>
      </c>
      <c r="E141" s="3">
        <v>46057.0</v>
      </c>
      <c r="F141" s="1">
        <v>11862.0</v>
      </c>
    </row>
    <row r="142">
      <c r="A142" s="1" t="s">
        <v>159</v>
      </c>
      <c r="B142" s="1" t="s">
        <v>19</v>
      </c>
      <c r="C142" s="1" t="s">
        <v>14</v>
      </c>
      <c r="D142" s="2">
        <v>46071.0</v>
      </c>
      <c r="E142" s="2">
        <v>46078.0</v>
      </c>
      <c r="F142" s="1">
        <v>2413.0</v>
      </c>
    </row>
    <row r="143">
      <c r="A143" s="1" t="s">
        <v>160</v>
      </c>
      <c r="B143" s="1" t="s">
        <v>13</v>
      </c>
      <c r="C143" s="1" t="s">
        <v>14</v>
      </c>
      <c r="D143" s="3">
        <v>46059.0</v>
      </c>
      <c r="E143" s="2">
        <v>46063.0</v>
      </c>
      <c r="F143" s="1">
        <v>10288.0</v>
      </c>
    </row>
    <row r="144">
      <c r="A144" s="1" t="s">
        <v>161</v>
      </c>
      <c r="B144" s="1" t="s">
        <v>13</v>
      </c>
      <c r="C144" s="1" t="s">
        <v>14</v>
      </c>
      <c r="D144" s="3">
        <v>46056.0</v>
      </c>
      <c r="E144" s="2">
        <v>46060.0</v>
      </c>
      <c r="F144" s="1">
        <v>10606.0</v>
      </c>
    </row>
    <row r="145">
      <c r="A145" s="1" t="s">
        <v>162</v>
      </c>
      <c r="B145" s="1" t="s">
        <v>13</v>
      </c>
      <c r="C145" s="1" t="s">
        <v>14</v>
      </c>
      <c r="D145" s="2">
        <v>46048.0</v>
      </c>
      <c r="E145" s="2">
        <v>46052.0</v>
      </c>
      <c r="F145" s="1">
        <v>8157.0</v>
      </c>
    </row>
    <row r="146">
      <c r="A146" s="1" t="s">
        <v>163</v>
      </c>
      <c r="B146" s="1" t="s">
        <v>13</v>
      </c>
      <c r="C146" s="1" t="s">
        <v>16</v>
      </c>
      <c r="D146" s="2">
        <v>46064.0</v>
      </c>
      <c r="E146" s="2">
        <v>46066.0</v>
      </c>
      <c r="F146" s="1">
        <v>2966.0</v>
      </c>
    </row>
    <row r="147">
      <c r="A147" s="1" t="s">
        <v>164</v>
      </c>
      <c r="B147" s="1" t="s">
        <v>10</v>
      </c>
      <c r="C147" s="1" t="s">
        <v>14</v>
      </c>
      <c r="D147" s="2">
        <v>46038.0</v>
      </c>
      <c r="E147" s="2">
        <v>46042.0</v>
      </c>
      <c r="F147" s="1">
        <v>11429.0</v>
      </c>
    </row>
    <row r="148">
      <c r="A148" s="1" t="s">
        <v>165</v>
      </c>
      <c r="B148" s="1" t="s">
        <v>13</v>
      </c>
      <c r="C148" s="1" t="s">
        <v>11</v>
      </c>
      <c r="D148" s="2">
        <v>46024.0</v>
      </c>
      <c r="E148" s="2">
        <v>46030.0</v>
      </c>
      <c r="F148" s="1">
        <v>9541.0</v>
      </c>
    </row>
    <row r="149">
      <c r="A149" s="1" t="s">
        <v>166</v>
      </c>
      <c r="B149" s="1" t="s">
        <v>10</v>
      </c>
      <c r="C149" s="1" t="s">
        <v>16</v>
      </c>
      <c r="D149" s="2">
        <v>46034.0</v>
      </c>
      <c r="E149" s="2">
        <v>46036.0</v>
      </c>
      <c r="F149" s="1">
        <v>10801.0</v>
      </c>
    </row>
    <row r="150">
      <c r="A150" s="1" t="s">
        <v>167</v>
      </c>
      <c r="B150" s="1" t="s">
        <v>19</v>
      </c>
      <c r="C150" s="1" t="s">
        <v>14</v>
      </c>
      <c r="D150" s="2">
        <v>46056.0</v>
      </c>
      <c r="E150" s="2">
        <v>46060.0</v>
      </c>
      <c r="F150" s="1">
        <v>7812.0</v>
      </c>
    </row>
    <row r="151">
      <c r="A151" s="1" t="s">
        <v>168</v>
      </c>
      <c r="B151" s="1" t="s">
        <v>10</v>
      </c>
      <c r="C151" s="1" t="s">
        <v>16</v>
      </c>
      <c r="D151" s="3">
        <v>46081.0</v>
      </c>
      <c r="E151" s="2">
        <v>46083.0</v>
      </c>
      <c r="F151" s="1">
        <v>8694.0</v>
      </c>
    </row>
    <row r="152">
      <c r="A152" s="1" t="s">
        <v>169</v>
      </c>
      <c r="B152" s="1" t="s">
        <v>13</v>
      </c>
      <c r="C152" s="1" t="s">
        <v>11</v>
      </c>
      <c r="D152" s="2">
        <v>46030.0</v>
      </c>
      <c r="E152" s="2">
        <v>46038.0</v>
      </c>
      <c r="F152" s="1">
        <v>8406.0</v>
      </c>
    </row>
    <row r="153">
      <c r="A153" s="1" t="s">
        <v>170</v>
      </c>
      <c r="B153" s="1" t="s">
        <v>19</v>
      </c>
      <c r="C153" s="1" t="s">
        <v>11</v>
      </c>
      <c r="D153" s="2">
        <v>46072.0</v>
      </c>
      <c r="E153" s="2">
        <v>46078.0</v>
      </c>
      <c r="F153" s="1">
        <v>5376.0</v>
      </c>
    </row>
    <row r="154">
      <c r="A154" s="1" t="s">
        <v>171</v>
      </c>
      <c r="B154" s="1" t="s">
        <v>19</v>
      </c>
      <c r="C154" s="1" t="s">
        <v>11</v>
      </c>
      <c r="D154" s="2">
        <v>46068.0</v>
      </c>
      <c r="E154" s="2">
        <v>46074.0</v>
      </c>
      <c r="F154" s="1">
        <v>7787.0</v>
      </c>
    </row>
    <row r="155">
      <c r="A155" s="1" t="s">
        <v>172</v>
      </c>
      <c r="B155" s="1" t="s">
        <v>10</v>
      </c>
      <c r="C155" s="1" t="s">
        <v>16</v>
      </c>
      <c r="D155" s="2">
        <v>46036.0</v>
      </c>
      <c r="E155" s="2">
        <v>46038.0</v>
      </c>
      <c r="F155" s="1">
        <v>1392.0</v>
      </c>
    </row>
    <row r="156">
      <c r="A156" s="1" t="s">
        <v>173</v>
      </c>
      <c r="B156" s="1" t="s">
        <v>19</v>
      </c>
      <c r="C156" s="1" t="s">
        <v>16</v>
      </c>
      <c r="D156" s="2">
        <v>46041.0</v>
      </c>
      <c r="E156" s="2">
        <v>46048.0</v>
      </c>
      <c r="F156" s="1">
        <v>10722.0</v>
      </c>
    </row>
    <row r="157">
      <c r="A157" s="1" t="s">
        <v>174</v>
      </c>
      <c r="B157" s="1" t="s">
        <v>10</v>
      </c>
      <c r="C157" s="1" t="s">
        <v>14</v>
      </c>
      <c r="D157" s="2">
        <v>46081.0</v>
      </c>
      <c r="E157" s="2">
        <v>46085.0</v>
      </c>
      <c r="F157" s="1">
        <v>11852.0</v>
      </c>
    </row>
    <row r="158">
      <c r="A158" s="1" t="s">
        <v>175</v>
      </c>
      <c r="B158" s="1" t="s">
        <v>19</v>
      </c>
      <c r="C158" s="1" t="s">
        <v>14</v>
      </c>
      <c r="D158" s="2">
        <v>46035.0</v>
      </c>
      <c r="E158" s="3">
        <v>46039.0</v>
      </c>
      <c r="F158" s="1">
        <v>11068.0</v>
      </c>
    </row>
    <row r="159">
      <c r="A159" s="1" t="s">
        <v>176</v>
      </c>
      <c r="B159" s="1" t="s">
        <v>10</v>
      </c>
      <c r="C159" s="1" t="s">
        <v>14</v>
      </c>
      <c r="D159" s="2">
        <v>46031.0</v>
      </c>
      <c r="F159" s="1">
        <v>5175.0</v>
      </c>
    </row>
    <row r="160">
      <c r="A160" s="1" t="s">
        <v>177</v>
      </c>
      <c r="B160" s="1" t="s">
        <v>13</v>
      </c>
      <c r="C160" s="1" t="s">
        <v>11</v>
      </c>
      <c r="D160" s="2">
        <v>46051.0</v>
      </c>
      <c r="E160" s="2">
        <v>46057.0</v>
      </c>
      <c r="F160" s="1">
        <v>2433.0</v>
      </c>
    </row>
    <row r="161">
      <c r="A161" s="1" t="s">
        <v>178</v>
      </c>
      <c r="B161" s="1" t="s">
        <v>10</v>
      </c>
      <c r="C161" s="1" t="s">
        <v>14</v>
      </c>
      <c r="D161" s="2">
        <v>46080.0</v>
      </c>
      <c r="E161" s="2">
        <v>46085.0</v>
      </c>
      <c r="F161" s="1">
        <v>1880.0</v>
      </c>
    </row>
    <row r="162">
      <c r="A162" s="1" t="s">
        <v>179</v>
      </c>
      <c r="B162" s="1" t="s">
        <v>10</v>
      </c>
      <c r="C162" s="1" t="s">
        <v>16</v>
      </c>
      <c r="D162" s="2">
        <v>46051.0</v>
      </c>
      <c r="E162" s="2">
        <v>46053.0</v>
      </c>
      <c r="F162" s="1">
        <v>1790.0</v>
      </c>
    </row>
    <row r="163">
      <c r="A163" s="1" t="s">
        <v>180</v>
      </c>
      <c r="B163" s="1" t="s">
        <v>13</v>
      </c>
      <c r="C163" s="1" t="s">
        <v>14</v>
      </c>
      <c r="D163" s="2">
        <v>46074.0</v>
      </c>
      <c r="E163" s="2">
        <v>46078.0</v>
      </c>
      <c r="F163" s="1">
        <v>2140.0</v>
      </c>
    </row>
    <row r="164">
      <c r="A164" s="1" t="s">
        <v>182</v>
      </c>
      <c r="B164" s="1" t="s">
        <v>10</v>
      </c>
      <c r="C164" s="1" t="s">
        <v>11</v>
      </c>
      <c r="D164" s="3">
        <v>46077.0</v>
      </c>
      <c r="E164" s="2">
        <v>46083.0</v>
      </c>
      <c r="F164" s="1">
        <v>7990.0</v>
      </c>
    </row>
    <row r="165">
      <c r="A165" s="1" t="s">
        <v>183</v>
      </c>
      <c r="B165" s="1" t="s">
        <v>10</v>
      </c>
      <c r="C165" s="1" t="s">
        <v>14</v>
      </c>
      <c r="D165" s="2">
        <v>46065.0</v>
      </c>
      <c r="E165" s="2">
        <v>46069.0</v>
      </c>
      <c r="F165" s="1">
        <v>11374.0</v>
      </c>
    </row>
    <row r="166">
      <c r="A166" s="1" t="s">
        <v>184</v>
      </c>
      <c r="B166" s="1" t="s">
        <v>19</v>
      </c>
      <c r="C166" s="1" t="s">
        <v>11</v>
      </c>
      <c r="D166" s="2">
        <v>46068.0</v>
      </c>
      <c r="E166" s="2">
        <v>46074.0</v>
      </c>
      <c r="F166" s="1">
        <v>9679.0</v>
      </c>
    </row>
    <row r="167">
      <c r="A167" s="1" t="s">
        <v>185</v>
      </c>
      <c r="B167" s="1" t="s">
        <v>10</v>
      </c>
      <c r="C167" s="1" t="s">
        <v>11</v>
      </c>
      <c r="D167" s="2">
        <v>46058.0</v>
      </c>
      <c r="E167" s="2">
        <v>46066.0</v>
      </c>
      <c r="F167" s="1">
        <v>1718.0</v>
      </c>
    </row>
    <row r="168">
      <c r="A168" s="1" t="s">
        <v>186</v>
      </c>
      <c r="B168" s="1" t="s">
        <v>19</v>
      </c>
      <c r="C168" s="1" t="s">
        <v>11</v>
      </c>
      <c r="D168" s="3">
        <v>46041.0</v>
      </c>
      <c r="E168" s="2">
        <v>46047.0</v>
      </c>
      <c r="F168" s="1">
        <v>5516.0</v>
      </c>
    </row>
    <row r="169">
      <c r="A169" s="1" t="s">
        <v>187</v>
      </c>
      <c r="B169" s="1" t="s">
        <v>13</v>
      </c>
      <c r="C169" s="1" t="s">
        <v>14</v>
      </c>
      <c r="D169" s="3">
        <v>46077.0</v>
      </c>
      <c r="E169" s="2">
        <v>46081.0</v>
      </c>
      <c r="F169" s="1">
        <v>7381.0</v>
      </c>
    </row>
    <row r="170">
      <c r="A170" s="1" t="s">
        <v>188</v>
      </c>
      <c r="B170" s="1" t="s">
        <v>19</v>
      </c>
      <c r="C170" s="1" t="s">
        <v>16</v>
      </c>
      <c r="D170" s="2">
        <v>46068.0</v>
      </c>
      <c r="E170" s="2">
        <v>46070.0</v>
      </c>
      <c r="F170" s="1">
        <v>10047.0</v>
      </c>
    </row>
    <row r="171">
      <c r="A171" s="1" t="s">
        <v>189</v>
      </c>
      <c r="B171" s="1" t="s">
        <v>19</v>
      </c>
      <c r="C171" s="1" t="s">
        <v>14</v>
      </c>
      <c r="D171" s="2">
        <v>46082.0</v>
      </c>
      <c r="E171" s="2">
        <v>46086.0</v>
      </c>
      <c r="F171" s="1">
        <v>10252.0</v>
      </c>
    </row>
    <row r="172">
      <c r="A172" s="1" t="s">
        <v>190</v>
      </c>
      <c r="B172" s="1" t="s">
        <v>13</v>
      </c>
      <c r="C172" s="1" t="s">
        <v>11</v>
      </c>
      <c r="D172" s="2">
        <v>46063.0</v>
      </c>
      <c r="E172" s="2">
        <v>46069.0</v>
      </c>
      <c r="F172" s="1">
        <v>10110.0</v>
      </c>
    </row>
    <row r="173">
      <c r="A173" s="1" t="s">
        <v>191</v>
      </c>
      <c r="B173" s="1" t="s">
        <v>19</v>
      </c>
      <c r="C173" s="1" t="s">
        <v>14</v>
      </c>
      <c r="D173" s="2">
        <v>46073.0</v>
      </c>
      <c r="E173" s="2">
        <v>46077.0</v>
      </c>
      <c r="F173" s="1">
        <v>1454.0</v>
      </c>
    </row>
    <row r="174">
      <c r="A174" s="1" t="s">
        <v>192</v>
      </c>
      <c r="B174" s="1" t="s">
        <v>13</v>
      </c>
      <c r="C174" s="1" t="s">
        <v>14</v>
      </c>
      <c r="D174" s="2">
        <v>46055.0</v>
      </c>
      <c r="E174" s="2">
        <v>46059.0</v>
      </c>
      <c r="F174" s="1">
        <v>9675.0</v>
      </c>
    </row>
    <row r="175">
      <c r="A175" s="1" t="s">
        <v>193</v>
      </c>
      <c r="B175" s="1" t="s">
        <v>10</v>
      </c>
      <c r="C175" s="1" t="s">
        <v>14</v>
      </c>
      <c r="D175" s="2">
        <v>46030.0</v>
      </c>
      <c r="E175" s="2">
        <v>46034.0</v>
      </c>
      <c r="F175" s="1">
        <v>7791.0</v>
      </c>
    </row>
    <row r="176">
      <c r="A176" s="1" t="s">
        <v>194</v>
      </c>
      <c r="B176" s="1" t="s">
        <v>10</v>
      </c>
      <c r="C176" s="1" t="s">
        <v>11</v>
      </c>
      <c r="D176" s="3">
        <v>46073.0</v>
      </c>
      <c r="E176" s="2">
        <v>46079.0</v>
      </c>
      <c r="F176" s="1">
        <v>1474.0</v>
      </c>
    </row>
    <row r="177">
      <c r="A177" s="1" t="s">
        <v>195</v>
      </c>
      <c r="B177" s="1" t="s">
        <v>19</v>
      </c>
      <c r="C177" s="1" t="s">
        <v>11</v>
      </c>
      <c r="D177" s="2">
        <v>46038.0</v>
      </c>
      <c r="E177" s="2">
        <v>46044.0</v>
      </c>
      <c r="F177" s="1">
        <v>4633.0</v>
      </c>
    </row>
    <row r="178">
      <c r="A178" s="1" t="s">
        <v>196</v>
      </c>
      <c r="B178" s="1" t="s">
        <v>10</v>
      </c>
      <c r="C178" s="1" t="s">
        <v>14</v>
      </c>
      <c r="D178" s="2">
        <v>46054.0</v>
      </c>
      <c r="E178" s="2">
        <v>46058.0</v>
      </c>
      <c r="F178" s="1">
        <v>5870.0</v>
      </c>
    </row>
    <row r="179">
      <c r="A179" s="1" t="s">
        <v>197</v>
      </c>
      <c r="B179" s="1" t="s">
        <v>13</v>
      </c>
      <c r="C179" s="1" t="s">
        <v>14</v>
      </c>
      <c r="D179" s="2">
        <v>46046.0</v>
      </c>
      <c r="E179" s="2">
        <v>46050.0</v>
      </c>
      <c r="F179" s="1">
        <v>4472.0</v>
      </c>
    </row>
    <row r="180">
      <c r="A180" s="1" t="s">
        <v>198</v>
      </c>
      <c r="B180" s="1" t="s">
        <v>10</v>
      </c>
      <c r="C180" s="1" t="s">
        <v>14</v>
      </c>
      <c r="D180" s="2">
        <v>46059.0</v>
      </c>
      <c r="E180" s="2">
        <v>46066.0</v>
      </c>
      <c r="F180" s="1">
        <v>5795.0</v>
      </c>
    </row>
    <row r="181">
      <c r="A181" s="1" t="s">
        <v>199</v>
      </c>
      <c r="B181" s="1" t="s">
        <v>13</v>
      </c>
      <c r="C181" s="1" t="s">
        <v>16</v>
      </c>
      <c r="D181" s="2">
        <v>46052.0</v>
      </c>
      <c r="E181" s="3">
        <v>46054.0</v>
      </c>
      <c r="F181" s="1">
        <v>9605.0</v>
      </c>
    </row>
    <row r="182">
      <c r="A182" s="1" t="s">
        <v>200</v>
      </c>
      <c r="B182" s="1" t="s">
        <v>10</v>
      </c>
      <c r="C182" s="1" t="s">
        <v>11</v>
      </c>
      <c r="D182" s="2">
        <v>46058.0</v>
      </c>
      <c r="E182" s="2">
        <v>46064.0</v>
      </c>
      <c r="F182" s="1">
        <v>8728.0</v>
      </c>
    </row>
    <row r="183">
      <c r="A183" s="1" t="s">
        <v>201</v>
      </c>
      <c r="B183" s="1" t="s">
        <v>19</v>
      </c>
      <c r="C183" s="1" t="s">
        <v>16</v>
      </c>
      <c r="D183" s="2">
        <v>46062.0</v>
      </c>
      <c r="E183" s="2">
        <v>46064.0</v>
      </c>
      <c r="F183" s="1">
        <v>10403.0</v>
      </c>
    </row>
    <row r="184">
      <c r="A184" s="1" t="s">
        <v>202</v>
      </c>
      <c r="B184" s="1" t="s">
        <v>10</v>
      </c>
      <c r="C184" s="1" t="s">
        <v>11</v>
      </c>
      <c r="D184" s="2">
        <v>46027.0</v>
      </c>
      <c r="E184" s="2">
        <v>46036.0</v>
      </c>
      <c r="F184" s="1">
        <v>3520.0</v>
      </c>
    </row>
    <row r="185">
      <c r="A185" s="1" t="s">
        <v>203</v>
      </c>
      <c r="B185" s="1" t="s">
        <v>10</v>
      </c>
      <c r="C185" s="1" t="s">
        <v>14</v>
      </c>
      <c r="D185" s="3">
        <v>46048.0</v>
      </c>
      <c r="E185" s="2">
        <v>46054.0</v>
      </c>
      <c r="F185" s="1">
        <v>9487.0</v>
      </c>
    </row>
    <row r="186">
      <c r="A186" s="1" t="s">
        <v>204</v>
      </c>
      <c r="B186" s="1" t="s">
        <v>10</v>
      </c>
      <c r="C186" s="1" t="s">
        <v>16</v>
      </c>
      <c r="D186" s="2">
        <v>46069.0</v>
      </c>
      <c r="E186" s="2">
        <v>46071.0</v>
      </c>
      <c r="F186" s="1">
        <v>4536.0</v>
      </c>
    </row>
    <row r="187">
      <c r="A187" s="1" t="s">
        <v>205</v>
      </c>
      <c r="B187" s="1" t="s">
        <v>13</v>
      </c>
      <c r="C187" s="1" t="s">
        <v>14</v>
      </c>
      <c r="D187" s="2">
        <v>46056.0</v>
      </c>
      <c r="E187" s="2">
        <v>46060.0</v>
      </c>
      <c r="F187" s="1">
        <v>5568.0</v>
      </c>
    </row>
    <row r="188">
      <c r="A188" s="1" t="s">
        <v>206</v>
      </c>
      <c r="B188" s="1" t="s">
        <v>13</v>
      </c>
      <c r="C188" s="1" t="s">
        <v>16</v>
      </c>
      <c r="D188" s="2">
        <v>46072.0</v>
      </c>
      <c r="E188" s="2">
        <v>46075.0</v>
      </c>
      <c r="F188" s="1">
        <v>5733.0</v>
      </c>
    </row>
    <row r="189">
      <c r="A189" s="1" t="s">
        <v>207</v>
      </c>
      <c r="B189" s="1" t="s">
        <v>19</v>
      </c>
      <c r="C189" s="1" t="s">
        <v>14</v>
      </c>
      <c r="D189" s="2">
        <v>46075.0</v>
      </c>
      <c r="E189" s="3">
        <v>46079.0</v>
      </c>
      <c r="F189" s="1">
        <v>11803.0</v>
      </c>
    </row>
    <row r="190">
      <c r="A190" s="1" t="s">
        <v>208</v>
      </c>
      <c r="B190" s="1" t="s">
        <v>13</v>
      </c>
      <c r="C190" s="1" t="s">
        <v>11</v>
      </c>
      <c r="D190" s="3">
        <v>46027.0</v>
      </c>
      <c r="E190" s="2">
        <v>46033.0</v>
      </c>
      <c r="F190" s="1">
        <v>10016.0</v>
      </c>
    </row>
    <row r="191">
      <c r="A191" s="1" t="s">
        <v>209</v>
      </c>
      <c r="B191" s="1" t="s">
        <v>10</v>
      </c>
      <c r="C191" s="1" t="s">
        <v>14</v>
      </c>
      <c r="D191" s="2">
        <v>46043.0</v>
      </c>
      <c r="F191" s="1">
        <v>817.0</v>
      </c>
    </row>
    <row r="192">
      <c r="A192" s="1" t="s">
        <v>210</v>
      </c>
      <c r="B192" s="1" t="s">
        <v>10</v>
      </c>
      <c r="C192" s="1" t="s">
        <v>11</v>
      </c>
      <c r="D192" s="2">
        <v>46027.0</v>
      </c>
      <c r="E192" s="2">
        <v>46033.0</v>
      </c>
      <c r="F192" s="1">
        <v>2896.0</v>
      </c>
    </row>
    <row r="193">
      <c r="A193" s="1" t="s">
        <v>211</v>
      </c>
      <c r="B193" s="1" t="s">
        <v>13</v>
      </c>
      <c r="C193" s="1" t="s">
        <v>14</v>
      </c>
      <c r="D193" s="3">
        <v>46052.0</v>
      </c>
      <c r="E193" s="2">
        <v>46058.0</v>
      </c>
      <c r="F193" s="1">
        <v>2662.0</v>
      </c>
    </row>
    <row r="194">
      <c r="A194" s="1" t="s">
        <v>212</v>
      </c>
      <c r="B194" s="1" t="s">
        <v>10</v>
      </c>
      <c r="C194" s="1" t="s">
        <v>14</v>
      </c>
      <c r="D194" s="2">
        <v>46056.0</v>
      </c>
      <c r="E194" s="2">
        <v>46062.0</v>
      </c>
      <c r="F194" s="1">
        <v>3245.0</v>
      </c>
    </row>
    <row r="195">
      <c r="A195" s="1" t="s">
        <v>213</v>
      </c>
      <c r="B195" s="1" t="s">
        <v>19</v>
      </c>
      <c r="C195" s="1" t="s">
        <v>11</v>
      </c>
      <c r="D195" s="2">
        <v>46031.0</v>
      </c>
      <c r="E195" s="2">
        <v>46037.0</v>
      </c>
      <c r="F195" s="1">
        <v>2091.0</v>
      </c>
    </row>
    <row r="196">
      <c r="A196" s="1" t="s">
        <v>214</v>
      </c>
      <c r="B196" s="1" t="s">
        <v>19</v>
      </c>
      <c r="C196" s="1" t="s">
        <v>11</v>
      </c>
      <c r="D196" s="3">
        <v>46058.0</v>
      </c>
      <c r="F196" s="1">
        <v>11803.0</v>
      </c>
    </row>
    <row r="197">
      <c r="A197" s="1" t="s">
        <v>215</v>
      </c>
      <c r="B197" s="1" t="s">
        <v>13</v>
      </c>
      <c r="C197" s="1" t="s">
        <v>16</v>
      </c>
      <c r="D197" s="2">
        <v>46060.0</v>
      </c>
      <c r="E197" s="2">
        <v>46062.0</v>
      </c>
      <c r="F197" s="1">
        <v>6683.0</v>
      </c>
    </row>
    <row r="198">
      <c r="A198" s="1" t="s">
        <v>216</v>
      </c>
      <c r="B198" s="1" t="s">
        <v>13</v>
      </c>
      <c r="C198" s="1" t="s">
        <v>14</v>
      </c>
      <c r="D198" s="2">
        <v>46072.0</v>
      </c>
      <c r="E198" s="2">
        <v>46077.0</v>
      </c>
      <c r="F198" s="1">
        <v>4430.0</v>
      </c>
    </row>
    <row r="199">
      <c r="A199" s="1" t="s">
        <v>217</v>
      </c>
      <c r="B199" s="1" t="s">
        <v>19</v>
      </c>
      <c r="C199" s="1" t="s">
        <v>16</v>
      </c>
      <c r="D199" s="2">
        <v>46050.0</v>
      </c>
      <c r="E199" s="2">
        <v>46054.0</v>
      </c>
      <c r="F199" s="1">
        <v>10688.0</v>
      </c>
    </row>
    <row r="200">
      <c r="A200" s="1" t="s">
        <v>218</v>
      </c>
      <c r="B200" s="1" t="s">
        <v>19</v>
      </c>
      <c r="C200" s="1" t="s">
        <v>16</v>
      </c>
      <c r="D200" s="2">
        <v>46081.0</v>
      </c>
      <c r="E200" s="3">
        <v>46085.0</v>
      </c>
      <c r="F200" s="1">
        <v>1812.0</v>
      </c>
    </row>
    <row r="201">
      <c r="A201" s="1" t="s">
        <v>219</v>
      </c>
      <c r="B201" s="1" t="s">
        <v>13</v>
      </c>
      <c r="C201" s="1" t="s">
        <v>11</v>
      </c>
      <c r="D201" s="2">
        <v>46076.0</v>
      </c>
      <c r="E201" s="2">
        <v>46083.0</v>
      </c>
      <c r="F201" s="1">
        <v>9977.0</v>
      </c>
    </row>
    <row r="202">
      <c r="A202" s="1" t="s">
        <v>220</v>
      </c>
      <c r="B202" s="1" t="s">
        <v>13</v>
      </c>
      <c r="C202" s="1" t="s">
        <v>11</v>
      </c>
      <c r="D202" s="2">
        <v>46056.0</v>
      </c>
      <c r="E202" s="2">
        <v>46062.0</v>
      </c>
      <c r="F202" s="1">
        <v>4811.0</v>
      </c>
    </row>
    <row r="203">
      <c r="A203" s="1" t="s">
        <v>221</v>
      </c>
      <c r="B203" s="1" t="s">
        <v>13</v>
      </c>
      <c r="C203" s="1" t="s">
        <v>14</v>
      </c>
      <c r="D203" s="3">
        <v>46042.0</v>
      </c>
      <c r="E203" s="2">
        <v>46046.0</v>
      </c>
      <c r="F203" s="1">
        <v>7814.0</v>
      </c>
    </row>
    <row r="204">
      <c r="A204" s="1" t="s">
        <v>222</v>
      </c>
      <c r="B204" s="1" t="s">
        <v>10</v>
      </c>
      <c r="C204" s="1" t="s">
        <v>16</v>
      </c>
      <c r="D204" s="2">
        <v>46033.0</v>
      </c>
      <c r="E204" s="3">
        <v>46035.0</v>
      </c>
      <c r="F204" s="1">
        <v>2883.0</v>
      </c>
    </row>
    <row r="205">
      <c r="A205" s="1" t="s">
        <v>223</v>
      </c>
      <c r="B205" s="1" t="s">
        <v>13</v>
      </c>
      <c r="C205" s="1" t="s">
        <v>14</v>
      </c>
      <c r="D205" s="2">
        <v>46082.0</v>
      </c>
      <c r="E205" s="2">
        <v>46088.0</v>
      </c>
      <c r="F205" s="1">
        <v>3739.0</v>
      </c>
    </row>
    <row r="206">
      <c r="A206" s="1" t="s">
        <v>224</v>
      </c>
      <c r="B206" s="1" t="s">
        <v>13</v>
      </c>
      <c r="C206" s="1" t="s">
        <v>16</v>
      </c>
      <c r="D206" s="2">
        <v>46037.0</v>
      </c>
      <c r="E206" s="2">
        <v>46039.0</v>
      </c>
      <c r="F206" s="1">
        <v>2639.0</v>
      </c>
    </row>
    <row r="207">
      <c r="A207" s="1" t="s">
        <v>225</v>
      </c>
      <c r="B207" s="1" t="s">
        <v>10</v>
      </c>
      <c r="C207" s="1" t="s">
        <v>11</v>
      </c>
      <c r="D207" s="2">
        <v>46083.0</v>
      </c>
      <c r="E207" s="2">
        <v>46089.0</v>
      </c>
      <c r="F207" s="1">
        <v>2204.0</v>
      </c>
    </row>
    <row r="208">
      <c r="A208" s="1" t="s">
        <v>226</v>
      </c>
      <c r="B208" s="1" t="s">
        <v>19</v>
      </c>
      <c r="C208" s="1" t="s">
        <v>14</v>
      </c>
      <c r="D208" s="3">
        <v>46080.0</v>
      </c>
      <c r="E208" s="2">
        <v>46084.0</v>
      </c>
      <c r="F208" s="1">
        <v>7424.0</v>
      </c>
    </row>
    <row r="209">
      <c r="A209" s="1" t="s">
        <v>227</v>
      </c>
      <c r="B209" s="1" t="s">
        <v>13</v>
      </c>
      <c r="C209" s="1" t="s">
        <v>16</v>
      </c>
      <c r="D209" s="2">
        <v>46077.0</v>
      </c>
      <c r="E209" s="2">
        <v>46079.0</v>
      </c>
      <c r="F209" s="1">
        <v>862.0</v>
      </c>
    </row>
    <row r="210">
      <c r="A210" s="1" t="s">
        <v>228</v>
      </c>
      <c r="B210" s="1" t="s">
        <v>10</v>
      </c>
      <c r="C210" s="1" t="s">
        <v>11</v>
      </c>
      <c r="D210" s="2">
        <v>46039.0</v>
      </c>
      <c r="E210" s="2">
        <v>46045.0</v>
      </c>
      <c r="F210" s="1">
        <v>3104.0</v>
      </c>
    </row>
    <row r="211">
      <c r="A211" s="1" t="s">
        <v>229</v>
      </c>
      <c r="B211" s="1" t="s">
        <v>13</v>
      </c>
      <c r="C211" s="1" t="s">
        <v>16</v>
      </c>
      <c r="D211" s="2">
        <v>46063.0</v>
      </c>
      <c r="E211" s="2">
        <v>46065.0</v>
      </c>
      <c r="F211" s="1">
        <v>10408.0</v>
      </c>
    </row>
    <row r="212">
      <c r="A212" s="1" t="s">
        <v>230</v>
      </c>
      <c r="B212" s="1" t="s">
        <v>13</v>
      </c>
      <c r="C212" s="1" t="s">
        <v>14</v>
      </c>
      <c r="D212" s="2">
        <v>46040.0</v>
      </c>
      <c r="E212" s="2">
        <v>46044.0</v>
      </c>
      <c r="F212" s="1">
        <v>4786.0</v>
      </c>
    </row>
    <row r="213">
      <c r="A213" s="1" t="s">
        <v>231</v>
      </c>
      <c r="B213" s="1" t="s">
        <v>10</v>
      </c>
      <c r="C213" s="1" t="s">
        <v>11</v>
      </c>
      <c r="D213" s="2">
        <v>46063.0</v>
      </c>
      <c r="E213" s="2">
        <v>46069.0</v>
      </c>
      <c r="F213" s="1">
        <v>4238.0</v>
      </c>
    </row>
    <row r="214">
      <c r="A214" s="1" t="s">
        <v>232</v>
      </c>
      <c r="B214" s="1" t="s">
        <v>19</v>
      </c>
      <c r="C214" s="1" t="s">
        <v>16</v>
      </c>
      <c r="D214" s="2">
        <v>46062.0</v>
      </c>
      <c r="E214" s="2">
        <v>46064.0</v>
      </c>
      <c r="F214" s="1">
        <v>2969.0</v>
      </c>
    </row>
    <row r="215">
      <c r="A215" s="1" t="s">
        <v>233</v>
      </c>
      <c r="B215" s="1" t="s">
        <v>10</v>
      </c>
      <c r="C215" s="1" t="s">
        <v>16</v>
      </c>
      <c r="D215" s="2">
        <v>46028.0</v>
      </c>
      <c r="E215" s="3">
        <v>46030.0</v>
      </c>
      <c r="F215" s="1">
        <v>5295.0</v>
      </c>
    </row>
    <row r="216">
      <c r="A216" s="1" t="s">
        <v>234</v>
      </c>
      <c r="B216" s="1" t="s">
        <v>13</v>
      </c>
      <c r="C216" s="1" t="s">
        <v>14</v>
      </c>
      <c r="D216" s="2">
        <v>46064.0</v>
      </c>
      <c r="E216" s="2">
        <v>46069.0</v>
      </c>
      <c r="F216" s="1">
        <v>6650.0</v>
      </c>
    </row>
    <row r="217">
      <c r="A217" s="1" t="s">
        <v>235</v>
      </c>
      <c r="B217" s="1" t="s">
        <v>19</v>
      </c>
      <c r="C217" s="1" t="s">
        <v>14</v>
      </c>
      <c r="D217" s="2">
        <v>46060.0</v>
      </c>
      <c r="E217" s="2">
        <v>46064.0</v>
      </c>
      <c r="F217" s="1">
        <v>1056.0</v>
      </c>
    </row>
    <row r="218">
      <c r="A218" s="1" t="s">
        <v>236</v>
      </c>
      <c r="B218" s="1" t="s">
        <v>10</v>
      </c>
      <c r="C218" s="1" t="s">
        <v>14</v>
      </c>
      <c r="D218" s="2">
        <v>46032.0</v>
      </c>
      <c r="E218" s="2">
        <v>46036.0</v>
      </c>
      <c r="F218" s="1">
        <v>9517.0</v>
      </c>
    </row>
    <row r="219">
      <c r="A219" s="1" t="s">
        <v>237</v>
      </c>
      <c r="B219" s="1" t="s">
        <v>10</v>
      </c>
      <c r="C219" s="1" t="s">
        <v>11</v>
      </c>
      <c r="D219" s="2">
        <v>46065.0</v>
      </c>
      <c r="E219" s="2">
        <v>46072.0</v>
      </c>
      <c r="F219" s="1">
        <v>3308.0</v>
      </c>
    </row>
    <row r="220">
      <c r="A220" s="1" t="s">
        <v>238</v>
      </c>
      <c r="B220" s="1" t="s">
        <v>19</v>
      </c>
      <c r="C220" s="1" t="s">
        <v>11</v>
      </c>
      <c r="D220" s="2">
        <v>46069.0</v>
      </c>
      <c r="E220" s="2">
        <v>46075.0</v>
      </c>
      <c r="F220" s="1">
        <v>5650.0</v>
      </c>
    </row>
    <row r="221">
      <c r="A221" s="1" t="s">
        <v>239</v>
      </c>
      <c r="B221" s="1" t="s">
        <v>13</v>
      </c>
      <c r="C221" s="1" t="s">
        <v>14</v>
      </c>
      <c r="D221" s="2">
        <v>46044.0</v>
      </c>
      <c r="E221" s="2">
        <v>46050.0</v>
      </c>
      <c r="F221" s="1">
        <v>8061.0</v>
      </c>
    </row>
    <row r="222">
      <c r="A222" s="1" t="s">
        <v>240</v>
      </c>
      <c r="B222" s="1" t="s">
        <v>10</v>
      </c>
      <c r="C222" s="1" t="s">
        <v>11</v>
      </c>
      <c r="D222" s="2">
        <v>46025.0</v>
      </c>
      <c r="E222" s="2">
        <v>46031.0</v>
      </c>
      <c r="F222" s="1">
        <v>3219.0</v>
      </c>
    </row>
    <row r="223">
      <c r="A223" s="1" t="s">
        <v>241</v>
      </c>
      <c r="B223" s="1" t="s">
        <v>10</v>
      </c>
      <c r="C223" s="1" t="s">
        <v>16</v>
      </c>
      <c r="D223" s="2">
        <v>46028.0</v>
      </c>
      <c r="E223" s="2">
        <v>46030.0</v>
      </c>
      <c r="F223" s="1">
        <v>7006.0</v>
      </c>
    </row>
    <row r="224">
      <c r="A224" s="1" t="s">
        <v>242</v>
      </c>
      <c r="B224" s="1" t="s">
        <v>10</v>
      </c>
      <c r="C224" s="1" t="s">
        <v>14</v>
      </c>
      <c r="D224" s="3">
        <v>46083.0</v>
      </c>
      <c r="E224" s="2">
        <v>46087.0</v>
      </c>
      <c r="F224" s="1">
        <v>4241.0</v>
      </c>
    </row>
    <row r="225">
      <c r="A225" s="1" t="s">
        <v>243</v>
      </c>
      <c r="B225" s="1" t="s">
        <v>13</v>
      </c>
      <c r="C225" s="1" t="s">
        <v>11</v>
      </c>
      <c r="D225" s="2">
        <v>46072.0</v>
      </c>
      <c r="E225" s="2">
        <v>46078.0</v>
      </c>
      <c r="F225" s="1">
        <v>10266.0</v>
      </c>
    </row>
    <row r="226">
      <c r="A226" s="1" t="s">
        <v>244</v>
      </c>
      <c r="B226" s="1" t="s">
        <v>10</v>
      </c>
      <c r="C226" s="1" t="s">
        <v>11</v>
      </c>
      <c r="D226" s="2">
        <v>46039.0</v>
      </c>
      <c r="E226" s="2">
        <v>46045.0</v>
      </c>
      <c r="F226" s="1">
        <v>4498.0</v>
      </c>
    </row>
    <row r="227">
      <c r="A227" s="1" t="s">
        <v>245</v>
      </c>
      <c r="B227" s="1" t="s">
        <v>19</v>
      </c>
      <c r="C227" s="1" t="s">
        <v>14</v>
      </c>
      <c r="D227" s="2">
        <v>46036.0</v>
      </c>
      <c r="E227" s="2">
        <v>46040.0</v>
      </c>
      <c r="F227" s="1">
        <v>10821.0</v>
      </c>
    </row>
    <row r="228">
      <c r="A228" s="1" t="s">
        <v>246</v>
      </c>
      <c r="B228" s="1" t="s">
        <v>19</v>
      </c>
      <c r="C228" s="1" t="s">
        <v>14</v>
      </c>
      <c r="D228" s="2">
        <v>46059.0</v>
      </c>
      <c r="E228" s="2">
        <v>46068.0</v>
      </c>
      <c r="F228" s="1">
        <v>2903.0</v>
      </c>
    </row>
    <row r="229">
      <c r="A229" s="1" t="s">
        <v>247</v>
      </c>
      <c r="B229" s="1" t="s">
        <v>10</v>
      </c>
      <c r="C229" s="1" t="s">
        <v>11</v>
      </c>
      <c r="D229" s="2">
        <v>46062.0</v>
      </c>
      <c r="E229" s="2">
        <v>46068.0</v>
      </c>
      <c r="F229" s="1">
        <v>9280.0</v>
      </c>
    </row>
    <row r="230">
      <c r="A230" s="1" t="s">
        <v>248</v>
      </c>
      <c r="B230" s="1" t="s">
        <v>10</v>
      </c>
      <c r="C230" s="1" t="s">
        <v>11</v>
      </c>
      <c r="D230" s="2">
        <v>46024.0</v>
      </c>
      <c r="E230" s="2">
        <v>46032.0</v>
      </c>
      <c r="F230" s="1">
        <v>10704.0</v>
      </c>
    </row>
    <row r="231">
      <c r="A231" s="1" t="s">
        <v>249</v>
      </c>
      <c r="B231" s="1" t="s">
        <v>19</v>
      </c>
      <c r="C231" s="1" t="s">
        <v>14</v>
      </c>
      <c r="D231" s="2">
        <v>46079.0</v>
      </c>
      <c r="E231" s="2">
        <v>46083.0</v>
      </c>
      <c r="F231" s="1">
        <v>10239.0</v>
      </c>
    </row>
    <row r="232">
      <c r="A232" s="1" t="s">
        <v>250</v>
      </c>
      <c r="B232" s="1" t="s">
        <v>19</v>
      </c>
      <c r="C232" s="1" t="s">
        <v>11</v>
      </c>
      <c r="D232" s="3">
        <v>46057.0</v>
      </c>
      <c r="E232" s="2">
        <v>46064.0</v>
      </c>
      <c r="F232" s="1">
        <v>794.0</v>
      </c>
    </row>
    <row r="233">
      <c r="A233" s="1" t="s">
        <v>251</v>
      </c>
      <c r="B233" s="1" t="s">
        <v>10</v>
      </c>
      <c r="C233" s="1" t="s">
        <v>16</v>
      </c>
      <c r="D233" s="2">
        <v>46064.0</v>
      </c>
      <c r="E233" s="2">
        <v>46066.0</v>
      </c>
      <c r="F233" s="1">
        <v>10677.0</v>
      </c>
    </row>
    <row r="234">
      <c r="A234" s="1" t="s">
        <v>252</v>
      </c>
      <c r="B234" s="1" t="s">
        <v>19</v>
      </c>
      <c r="C234" s="1" t="s">
        <v>11</v>
      </c>
      <c r="D234" s="2">
        <v>46053.0</v>
      </c>
      <c r="E234" s="3">
        <v>46059.0</v>
      </c>
      <c r="F234" s="1">
        <v>5843.0</v>
      </c>
    </row>
    <row r="235">
      <c r="A235" s="1" t="s">
        <v>253</v>
      </c>
      <c r="B235" s="1" t="s">
        <v>13</v>
      </c>
      <c r="C235" s="1" t="s">
        <v>16</v>
      </c>
      <c r="D235" s="2">
        <v>46074.0</v>
      </c>
      <c r="E235" s="2">
        <v>46076.0</v>
      </c>
      <c r="F235" s="1">
        <v>11809.0</v>
      </c>
    </row>
    <row r="236">
      <c r="A236" s="1" t="s">
        <v>254</v>
      </c>
      <c r="B236" s="1" t="s">
        <v>13</v>
      </c>
      <c r="C236" s="1" t="s">
        <v>16</v>
      </c>
      <c r="D236" s="2">
        <v>46066.0</v>
      </c>
      <c r="E236" s="2">
        <v>46068.0</v>
      </c>
      <c r="F236" s="1">
        <v>10382.0</v>
      </c>
    </row>
    <row r="237">
      <c r="A237" s="1" t="s">
        <v>255</v>
      </c>
      <c r="B237" s="1" t="s">
        <v>13</v>
      </c>
      <c r="C237" s="1" t="s">
        <v>11</v>
      </c>
      <c r="D237" s="2">
        <v>46042.0</v>
      </c>
      <c r="E237" s="2">
        <v>46049.0</v>
      </c>
      <c r="F237" s="1">
        <v>1636.0</v>
      </c>
    </row>
    <row r="238">
      <c r="A238" s="1" t="s">
        <v>256</v>
      </c>
      <c r="B238" s="1" t="s">
        <v>13</v>
      </c>
      <c r="C238" s="1" t="s">
        <v>11</v>
      </c>
      <c r="D238" s="3">
        <v>46027.0</v>
      </c>
      <c r="E238" s="2">
        <v>46033.0</v>
      </c>
      <c r="F238" s="1">
        <v>2564.0</v>
      </c>
    </row>
    <row r="239">
      <c r="A239" s="1" t="s">
        <v>257</v>
      </c>
      <c r="B239" s="1" t="s">
        <v>19</v>
      </c>
      <c r="C239" s="1" t="s">
        <v>14</v>
      </c>
      <c r="D239" s="2">
        <v>46026.0</v>
      </c>
      <c r="E239" s="2">
        <v>46030.0</v>
      </c>
      <c r="F239" s="1">
        <v>7509.0</v>
      </c>
    </row>
    <row r="240">
      <c r="A240" s="1" t="s">
        <v>258</v>
      </c>
      <c r="B240" s="1" t="s">
        <v>13</v>
      </c>
      <c r="C240" s="1" t="s">
        <v>16</v>
      </c>
      <c r="D240" s="2">
        <v>46051.0</v>
      </c>
      <c r="E240" s="2">
        <v>46053.0</v>
      </c>
      <c r="F240" s="1">
        <v>5043.0</v>
      </c>
    </row>
    <row r="241">
      <c r="A241" s="1" t="s">
        <v>259</v>
      </c>
      <c r="B241" s="1" t="s">
        <v>10</v>
      </c>
      <c r="C241" s="1" t="s">
        <v>11</v>
      </c>
      <c r="D241" s="2">
        <v>46053.0</v>
      </c>
      <c r="E241" s="2">
        <v>46059.0</v>
      </c>
      <c r="F241" s="1">
        <v>1507.0</v>
      </c>
    </row>
    <row r="242">
      <c r="A242" s="1" t="s">
        <v>260</v>
      </c>
      <c r="B242" s="1" t="s">
        <v>10</v>
      </c>
      <c r="C242" s="1" t="s">
        <v>16</v>
      </c>
      <c r="D242" s="2">
        <v>46036.0</v>
      </c>
      <c r="E242" s="3">
        <v>46041.0</v>
      </c>
      <c r="F242" s="1">
        <v>5945.0</v>
      </c>
    </row>
    <row r="243">
      <c r="A243" s="1" t="s">
        <v>261</v>
      </c>
      <c r="B243" s="1" t="s">
        <v>13</v>
      </c>
      <c r="C243" s="1" t="s">
        <v>14</v>
      </c>
      <c r="D243" s="2">
        <v>46061.0</v>
      </c>
      <c r="E243" s="3">
        <v>46068.0</v>
      </c>
      <c r="F243" s="1">
        <v>11206.0</v>
      </c>
    </row>
    <row r="244">
      <c r="A244" s="1" t="s">
        <v>262</v>
      </c>
      <c r="B244" s="1" t="s">
        <v>10</v>
      </c>
      <c r="C244" s="1" t="s">
        <v>16</v>
      </c>
      <c r="D244" s="2">
        <v>46043.0</v>
      </c>
      <c r="E244" s="2">
        <v>46047.0</v>
      </c>
      <c r="F244" s="1">
        <v>5852.0</v>
      </c>
    </row>
    <row r="245">
      <c r="A245" s="1" t="s">
        <v>263</v>
      </c>
      <c r="B245" s="1" t="s">
        <v>13</v>
      </c>
      <c r="C245" s="1" t="s">
        <v>11</v>
      </c>
      <c r="D245" s="2">
        <v>46043.0</v>
      </c>
      <c r="E245" s="2">
        <v>46049.0</v>
      </c>
      <c r="F245" s="1">
        <v>9939.0</v>
      </c>
    </row>
    <row r="246">
      <c r="A246" s="1" t="s">
        <v>264</v>
      </c>
      <c r="B246" s="1" t="s">
        <v>13</v>
      </c>
      <c r="C246" s="1" t="s">
        <v>11</v>
      </c>
      <c r="D246" s="2">
        <v>46078.0</v>
      </c>
      <c r="F246" s="1">
        <v>1935.0</v>
      </c>
    </row>
    <row r="247">
      <c r="A247" s="1" t="s">
        <v>265</v>
      </c>
      <c r="B247" s="1" t="s">
        <v>13</v>
      </c>
      <c r="C247" s="1" t="s">
        <v>16</v>
      </c>
      <c r="D247" s="2">
        <v>46048.0</v>
      </c>
      <c r="E247" s="2">
        <v>46053.0</v>
      </c>
      <c r="F247" s="1">
        <v>1071.0</v>
      </c>
    </row>
    <row r="248">
      <c r="A248" s="1" t="s">
        <v>266</v>
      </c>
      <c r="B248" s="1" t="s">
        <v>10</v>
      </c>
      <c r="C248" s="1" t="s">
        <v>14</v>
      </c>
      <c r="D248" s="2">
        <v>46071.0</v>
      </c>
      <c r="E248" s="3">
        <v>46075.0</v>
      </c>
      <c r="F248" s="1">
        <v>2882.0</v>
      </c>
    </row>
    <row r="249">
      <c r="A249" s="1" t="s">
        <v>267</v>
      </c>
      <c r="B249" s="1" t="s">
        <v>10</v>
      </c>
      <c r="C249" s="1" t="s">
        <v>16</v>
      </c>
      <c r="D249" s="2">
        <v>46055.0</v>
      </c>
      <c r="E249" s="2">
        <v>46060.0</v>
      </c>
      <c r="F249" s="1">
        <v>9937.0</v>
      </c>
    </row>
    <row r="250">
      <c r="A250" s="1" t="s">
        <v>268</v>
      </c>
      <c r="B250" s="1" t="s">
        <v>13</v>
      </c>
      <c r="C250" s="1" t="s">
        <v>11</v>
      </c>
      <c r="D250" s="2">
        <v>46029.0</v>
      </c>
      <c r="E250" s="2">
        <v>46038.0</v>
      </c>
      <c r="F250" s="1">
        <v>10776.0</v>
      </c>
    </row>
    <row r="251">
      <c r="A251" s="1" t="s">
        <v>269</v>
      </c>
      <c r="B251" s="1" t="s">
        <v>13</v>
      </c>
      <c r="C251" s="1" t="s">
        <v>14</v>
      </c>
      <c r="D251" s="3">
        <v>46038.0</v>
      </c>
      <c r="E251" s="2">
        <v>46044.0</v>
      </c>
      <c r="F251" s="1">
        <v>5584.0</v>
      </c>
    </row>
    <row r="252">
      <c r="A252" s="1" t="s">
        <v>270</v>
      </c>
      <c r="B252" s="1" t="s">
        <v>13</v>
      </c>
      <c r="C252" s="1" t="s">
        <v>16</v>
      </c>
      <c r="D252" s="2">
        <v>46030.0</v>
      </c>
      <c r="E252" s="2">
        <v>46032.0</v>
      </c>
      <c r="F252" s="1">
        <v>777.0</v>
      </c>
    </row>
    <row r="253">
      <c r="A253" s="1" t="s">
        <v>271</v>
      </c>
      <c r="B253" s="1" t="s">
        <v>13</v>
      </c>
      <c r="C253" s="1" t="s">
        <v>16</v>
      </c>
      <c r="D253" s="2">
        <v>46051.0</v>
      </c>
      <c r="E253" s="2">
        <v>46053.0</v>
      </c>
      <c r="F253" s="1">
        <v>7559.0</v>
      </c>
    </row>
    <row r="254">
      <c r="A254" s="1" t="s">
        <v>272</v>
      </c>
      <c r="B254" s="1" t="s">
        <v>19</v>
      </c>
      <c r="C254" s="1" t="s">
        <v>14</v>
      </c>
      <c r="D254" s="2">
        <v>46032.0</v>
      </c>
      <c r="E254" s="2">
        <v>46038.0</v>
      </c>
      <c r="F254" s="1">
        <v>2387.0</v>
      </c>
    </row>
    <row r="255">
      <c r="A255" s="1" t="s">
        <v>273</v>
      </c>
      <c r="B255" s="1" t="s">
        <v>13</v>
      </c>
      <c r="C255" s="1" t="s">
        <v>16</v>
      </c>
      <c r="D255" s="2">
        <v>46026.0</v>
      </c>
      <c r="E255" s="2">
        <v>46028.0</v>
      </c>
      <c r="F255" s="1">
        <v>1765.0</v>
      </c>
    </row>
    <row r="256">
      <c r="A256" s="1" t="s">
        <v>274</v>
      </c>
      <c r="B256" s="1" t="s">
        <v>10</v>
      </c>
      <c r="C256" s="1" t="s">
        <v>14</v>
      </c>
      <c r="D256" s="2">
        <v>46083.0</v>
      </c>
      <c r="E256" s="2">
        <v>46087.0</v>
      </c>
      <c r="F256" s="1">
        <v>7991.0</v>
      </c>
    </row>
    <row r="257">
      <c r="A257" s="1" t="s">
        <v>275</v>
      </c>
      <c r="B257" s="1" t="s">
        <v>13</v>
      </c>
      <c r="C257" s="1" t="s">
        <v>14</v>
      </c>
      <c r="D257" s="2">
        <v>46078.0</v>
      </c>
      <c r="E257" s="2">
        <v>46082.0</v>
      </c>
      <c r="F257" s="1">
        <v>1540.0</v>
      </c>
    </row>
    <row r="258">
      <c r="A258" s="1" t="s">
        <v>276</v>
      </c>
      <c r="B258" s="1" t="s">
        <v>19</v>
      </c>
      <c r="C258" s="1" t="s">
        <v>14</v>
      </c>
      <c r="D258" s="3">
        <v>46049.0</v>
      </c>
      <c r="E258" s="2">
        <v>46056.0</v>
      </c>
      <c r="F258" s="1">
        <v>9609.0</v>
      </c>
    </row>
    <row r="259">
      <c r="A259" s="1" t="s">
        <v>277</v>
      </c>
      <c r="B259" s="1" t="s">
        <v>10</v>
      </c>
      <c r="C259" s="1" t="s">
        <v>14</v>
      </c>
      <c r="D259" s="2">
        <v>46078.0</v>
      </c>
      <c r="E259" s="3">
        <v>46082.0</v>
      </c>
      <c r="F259" s="1">
        <v>8573.0</v>
      </c>
    </row>
    <row r="260">
      <c r="A260" s="1" t="s">
        <v>278</v>
      </c>
      <c r="B260" s="1" t="s">
        <v>19</v>
      </c>
      <c r="C260" s="1" t="s">
        <v>16</v>
      </c>
      <c r="D260" s="2">
        <v>46075.0</v>
      </c>
      <c r="E260" s="3">
        <v>46077.0</v>
      </c>
      <c r="F260" s="1">
        <v>9577.0</v>
      </c>
    </row>
    <row r="261">
      <c r="A261" s="1" t="s">
        <v>279</v>
      </c>
      <c r="B261" s="1" t="s">
        <v>13</v>
      </c>
      <c r="C261" s="1" t="s">
        <v>16</v>
      </c>
      <c r="D261" s="2">
        <v>46082.0</v>
      </c>
      <c r="E261" s="2">
        <v>46084.0</v>
      </c>
      <c r="F261" s="1">
        <v>3252.0</v>
      </c>
    </row>
    <row r="262">
      <c r="A262" s="1" t="s">
        <v>280</v>
      </c>
      <c r="B262" s="1" t="s">
        <v>10</v>
      </c>
      <c r="C262" s="1" t="s">
        <v>11</v>
      </c>
      <c r="D262" s="3">
        <v>46069.0</v>
      </c>
      <c r="E262" s="2">
        <v>46075.0</v>
      </c>
      <c r="F262" s="1">
        <v>8713.0</v>
      </c>
    </row>
    <row r="263">
      <c r="A263" s="1" t="s">
        <v>281</v>
      </c>
      <c r="B263" s="1" t="s">
        <v>13</v>
      </c>
      <c r="C263" s="1" t="s">
        <v>14</v>
      </c>
      <c r="D263" s="2">
        <v>46035.0</v>
      </c>
      <c r="E263" s="2">
        <v>46044.0</v>
      </c>
      <c r="F263" s="1">
        <v>5069.0</v>
      </c>
    </row>
    <row r="264">
      <c r="A264" s="1" t="s">
        <v>282</v>
      </c>
      <c r="B264" s="1" t="s">
        <v>10</v>
      </c>
      <c r="C264" s="1" t="s">
        <v>11</v>
      </c>
      <c r="D264" s="2">
        <v>46033.0</v>
      </c>
      <c r="E264" s="2">
        <v>46039.0</v>
      </c>
      <c r="F264" s="1">
        <v>11883.0</v>
      </c>
    </row>
    <row r="265">
      <c r="A265" s="1" t="s">
        <v>283</v>
      </c>
      <c r="B265" s="1" t="s">
        <v>10</v>
      </c>
      <c r="C265" s="1" t="s">
        <v>11</v>
      </c>
      <c r="D265" s="2">
        <v>46055.0</v>
      </c>
      <c r="E265" s="2">
        <v>46061.0</v>
      </c>
      <c r="F265" s="1">
        <v>6853.0</v>
      </c>
    </row>
    <row r="266">
      <c r="A266" s="1" t="s">
        <v>284</v>
      </c>
      <c r="B266" s="1" t="s">
        <v>10</v>
      </c>
      <c r="C266" s="1" t="s">
        <v>16</v>
      </c>
      <c r="D266" s="3">
        <v>46054.0</v>
      </c>
      <c r="E266" s="2">
        <v>46058.0</v>
      </c>
      <c r="F266" s="1">
        <v>2853.0</v>
      </c>
    </row>
    <row r="267">
      <c r="A267" s="1" t="s">
        <v>285</v>
      </c>
      <c r="B267" s="1" t="s">
        <v>19</v>
      </c>
      <c r="C267" s="1" t="s">
        <v>16</v>
      </c>
      <c r="D267" s="2">
        <v>46054.0</v>
      </c>
      <c r="E267" s="2">
        <v>46057.0</v>
      </c>
      <c r="F267" s="1">
        <v>7937.0</v>
      </c>
    </row>
    <row r="268">
      <c r="A268" s="1" t="s">
        <v>286</v>
      </c>
      <c r="B268" s="1" t="s">
        <v>13</v>
      </c>
      <c r="C268" s="1" t="s">
        <v>16</v>
      </c>
      <c r="D268" s="2">
        <v>46028.0</v>
      </c>
      <c r="E268" s="2">
        <v>46030.0</v>
      </c>
      <c r="F268" s="1">
        <v>5299.0</v>
      </c>
    </row>
    <row r="269">
      <c r="A269" s="1" t="s">
        <v>287</v>
      </c>
      <c r="B269" s="1" t="s">
        <v>19</v>
      </c>
      <c r="C269" s="1" t="s">
        <v>16</v>
      </c>
      <c r="D269" s="3">
        <v>46055.0</v>
      </c>
      <c r="E269" s="3">
        <v>46058.0</v>
      </c>
      <c r="F269" s="1">
        <v>1186.0</v>
      </c>
    </row>
    <row r="270">
      <c r="A270" s="1" t="s">
        <v>288</v>
      </c>
      <c r="B270" s="1" t="s">
        <v>19</v>
      </c>
      <c r="C270" s="1" t="s">
        <v>11</v>
      </c>
      <c r="D270" s="2">
        <v>46038.0</v>
      </c>
      <c r="E270" s="2">
        <v>46044.0</v>
      </c>
      <c r="F270" s="1">
        <v>8976.0</v>
      </c>
    </row>
    <row r="271">
      <c r="A271" s="1" t="s">
        <v>289</v>
      </c>
      <c r="B271" s="1" t="s">
        <v>13</v>
      </c>
      <c r="C271" s="1" t="s">
        <v>14</v>
      </c>
      <c r="D271" s="2">
        <v>46060.0</v>
      </c>
      <c r="E271" s="2">
        <v>46064.0</v>
      </c>
      <c r="F271" s="1">
        <v>5311.0</v>
      </c>
    </row>
    <row r="272">
      <c r="A272" s="1" t="s">
        <v>290</v>
      </c>
      <c r="B272" s="1" t="s">
        <v>13</v>
      </c>
      <c r="C272" s="1" t="s">
        <v>11</v>
      </c>
      <c r="D272" s="2">
        <v>46026.0</v>
      </c>
      <c r="E272" s="2">
        <v>46033.0</v>
      </c>
      <c r="F272" s="1">
        <v>9454.0</v>
      </c>
    </row>
    <row r="273">
      <c r="A273" s="1" t="s">
        <v>291</v>
      </c>
      <c r="B273" s="1" t="s">
        <v>13</v>
      </c>
      <c r="C273" s="1" t="s">
        <v>11</v>
      </c>
      <c r="D273" s="2">
        <v>46041.0</v>
      </c>
      <c r="E273" s="2">
        <v>46048.0</v>
      </c>
      <c r="F273" s="1">
        <v>5846.0</v>
      </c>
    </row>
    <row r="274">
      <c r="A274" s="1" t="s">
        <v>292</v>
      </c>
      <c r="B274" s="1" t="s">
        <v>10</v>
      </c>
      <c r="C274" s="1" t="s">
        <v>16</v>
      </c>
      <c r="D274" s="2">
        <v>46061.0</v>
      </c>
      <c r="E274" s="2">
        <v>46065.0</v>
      </c>
      <c r="F274" s="1">
        <v>5543.0</v>
      </c>
    </row>
    <row r="275">
      <c r="A275" s="1" t="s">
        <v>293</v>
      </c>
      <c r="B275" s="1" t="s">
        <v>19</v>
      </c>
      <c r="C275" s="1" t="s">
        <v>14</v>
      </c>
      <c r="D275" s="2">
        <v>46066.0</v>
      </c>
      <c r="E275" s="2">
        <v>46072.0</v>
      </c>
      <c r="F275" s="1">
        <v>2928.0</v>
      </c>
    </row>
    <row r="276">
      <c r="A276" s="1" t="s">
        <v>294</v>
      </c>
      <c r="B276" s="1" t="s">
        <v>19</v>
      </c>
      <c r="C276" s="1" t="s">
        <v>11</v>
      </c>
      <c r="D276" s="3">
        <v>46041.0</v>
      </c>
      <c r="E276" s="2">
        <v>46047.0</v>
      </c>
      <c r="F276" s="1">
        <v>11199.0</v>
      </c>
    </row>
    <row r="277">
      <c r="A277" s="1" t="s">
        <v>295</v>
      </c>
      <c r="B277" s="1" t="s">
        <v>19</v>
      </c>
      <c r="C277" s="1" t="s">
        <v>16</v>
      </c>
      <c r="D277" s="3">
        <v>46023.0</v>
      </c>
      <c r="E277" s="3">
        <v>46025.0</v>
      </c>
      <c r="F277" s="1">
        <v>5626.0</v>
      </c>
    </row>
    <row r="278">
      <c r="A278" s="1" t="s">
        <v>296</v>
      </c>
      <c r="B278" s="1" t="s">
        <v>19</v>
      </c>
      <c r="C278" s="1" t="s">
        <v>16</v>
      </c>
      <c r="D278" s="3">
        <v>46050.0</v>
      </c>
      <c r="E278" s="2">
        <v>46053.0</v>
      </c>
      <c r="F278" s="1">
        <v>8720.0</v>
      </c>
    </row>
    <row r="279">
      <c r="A279" s="1" t="s">
        <v>297</v>
      </c>
      <c r="B279" s="1" t="s">
        <v>19</v>
      </c>
      <c r="C279" s="1" t="s">
        <v>14</v>
      </c>
      <c r="D279" s="2">
        <v>46079.0</v>
      </c>
      <c r="E279" s="3">
        <v>46083.0</v>
      </c>
      <c r="F279" s="1">
        <v>9598.0</v>
      </c>
    </row>
    <row r="280">
      <c r="A280" s="1" t="s">
        <v>298</v>
      </c>
      <c r="B280" s="1" t="s">
        <v>10</v>
      </c>
      <c r="C280" s="1" t="s">
        <v>11</v>
      </c>
      <c r="D280" s="3">
        <v>46069.0</v>
      </c>
      <c r="E280" s="2">
        <v>46076.0</v>
      </c>
      <c r="F280" s="1">
        <v>11796.0</v>
      </c>
    </row>
    <row r="281">
      <c r="A281" s="1" t="s">
        <v>299</v>
      </c>
      <c r="B281" s="1" t="s">
        <v>13</v>
      </c>
      <c r="C281" s="1" t="s">
        <v>14</v>
      </c>
      <c r="D281" s="2">
        <v>46071.0</v>
      </c>
      <c r="E281" s="2">
        <v>46076.0</v>
      </c>
      <c r="F281" s="1">
        <v>8313.0</v>
      </c>
    </row>
    <row r="282">
      <c r="A282" s="1" t="s">
        <v>300</v>
      </c>
      <c r="B282" s="1" t="s">
        <v>10</v>
      </c>
      <c r="C282" s="1" t="s">
        <v>14</v>
      </c>
      <c r="D282" s="2">
        <v>46046.0</v>
      </c>
      <c r="E282" s="3">
        <v>46052.0</v>
      </c>
      <c r="F282" s="1">
        <v>11686.0</v>
      </c>
    </row>
    <row r="283">
      <c r="A283" s="1" t="s">
        <v>301</v>
      </c>
      <c r="B283" s="1" t="s">
        <v>10</v>
      </c>
      <c r="C283" s="1" t="s">
        <v>14</v>
      </c>
      <c r="D283" s="2">
        <v>46048.0</v>
      </c>
      <c r="E283" s="2">
        <v>46052.0</v>
      </c>
      <c r="F283" s="1">
        <v>11198.0</v>
      </c>
    </row>
    <row r="284">
      <c r="A284" s="1" t="s">
        <v>302</v>
      </c>
      <c r="B284" s="1" t="s">
        <v>10</v>
      </c>
      <c r="C284" s="1" t="s">
        <v>11</v>
      </c>
      <c r="D284" s="2">
        <v>46059.0</v>
      </c>
      <c r="E284" s="2">
        <v>46065.0</v>
      </c>
      <c r="F284" s="1">
        <v>10145.0</v>
      </c>
    </row>
    <row r="285">
      <c r="A285" s="1" t="s">
        <v>303</v>
      </c>
      <c r="B285" s="1" t="s">
        <v>13</v>
      </c>
      <c r="C285" s="1" t="s">
        <v>16</v>
      </c>
      <c r="D285" s="2">
        <v>46035.0</v>
      </c>
      <c r="E285" s="2">
        <v>46037.0</v>
      </c>
      <c r="F285" s="1">
        <v>3856.0</v>
      </c>
    </row>
    <row r="286">
      <c r="A286" s="1" t="s">
        <v>304</v>
      </c>
      <c r="B286" s="1" t="s">
        <v>13</v>
      </c>
      <c r="C286" s="1" t="s">
        <v>14</v>
      </c>
      <c r="D286" s="2">
        <v>46058.0</v>
      </c>
      <c r="E286" s="2">
        <v>46062.0</v>
      </c>
      <c r="F286" s="1">
        <v>9207.0</v>
      </c>
    </row>
    <row r="287">
      <c r="A287" s="1" t="s">
        <v>305</v>
      </c>
      <c r="B287" s="1" t="s">
        <v>19</v>
      </c>
      <c r="C287" s="1" t="s">
        <v>14</v>
      </c>
      <c r="D287" s="2">
        <v>46027.0</v>
      </c>
      <c r="E287" s="2">
        <v>46031.0</v>
      </c>
      <c r="F287" s="1">
        <v>7766.0</v>
      </c>
    </row>
    <row r="288">
      <c r="A288" s="1" t="s">
        <v>306</v>
      </c>
      <c r="B288" s="1" t="s">
        <v>10</v>
      </c>
      <c r="C288" s="1" t="s">
        <v>11</v>
      </c>
      <c r="D288" s="2">
        <v>46055.0</v>
      </c>
      <c r="E288" s="2">
        <v>46061.0</v>
      </c>
      <c r="F288" s="1">
        <v>7040.0</v>
      </c>
    </row>
    <row r="289">
      <c r="A289" s="1" t="s">
        <v>307</v>
      </c>
      <c r="B289" s="1" t="s">
        <v>19</v>
      </c>
      <c r="C289" s="1" t="s">
        <v>11</v>
      </c>
      <c r="D289" s="2">
        <v>46071.0</v>
      </c>
      <c r="E289" s="3">
        <v>46077.0</v>
      </c>
      <c r="F289" s="1">
        <v>538.0</v>
      </c>
    </row>
    <row r="290">
      <c r="A290" s="1" t="s">
        <v>308</v>
      </c>
      <c r="B290" s="1" t="s">
        <v>13</v>
      </c>
      <c r="C290" s="1" t="s">
        <v>16</v>
      </c>
      <c r="D290" s="2">
        <v>46040.0</v>
      </c>
      <c r="E290" s="2">
        <v>46042.0</v>
      </c>
      <c r="F290" s="1">
        <v>3842.0</v>
      </c>
    </row>
    <row r="291">
      <c r="A291" s="1" t="s">
        <v>309</v>
      </c>
      <c r="B291" s="1" t="s">
        <v>13</v>
      </c>
      <c r="C291" s="1" t="s">
        <v>16</v>
      </c>
      <c r="D291" s="2">
        <v>46066.0</v>
      </c>
      <c r="F291" s="1">
        <v>9578.0</v>
      </c>
    </row>
    <row r="292">
      <c r="A292" s="1" t="s">
        <v>310</v>
      </c>
      <c r="B292" s="1" t="s">
        <v>13</v>
      </c>
      <c r="C292" s="1" t="s">
        <v>14</v>
      </c>
      <c r="D292" s="3">
        <v>46030.0</v>
      </c>
      <c r="E292" s="2">
        <v>46034.0</v>
      </c>
      <c r="F292" s="1">
        <v>3344.0</v>
      </c>
    </row>
    <row r="293">
      <c r="A293" s="1" t="s">
        <v>311</v>
      </c>
      <c r="B293" s="1" t="s">
        <v>13</v>
      </c>
      <c r="C293" s="1" t="s">
        <v>14</v>
      </c>
      <c r="D293" s="2">
        <v>46029.0</v>
      </c>
      <c r="E293" s="2">
        <v>46033.0</v>
      </c>
      <c r="F293" s="1">
        <v>10896.0</v>
      </c>
    </row>
    <row r="294">
      <c r="A294" s="1" t="s">
        <v>313</v>
      </c>
      <c r="B294" s="1" t="s">
        <v>10</v>
      </c>
      <c r="C294" s="1" t="s">
        <v>11</v>
      </c>
      <c r="D294" s="2">
        <v>46046.0</v>
      </c>
      <c r="E294" s="3">
        <v>46054.0</v>
      </c>
      <c r="F294" s="1">
        <v>1598.0</v>
      </c>
    </row>
    <row r="295">
      <c r="A295" s="1" t="s">
        <v>314</v>
      </c>
      <c r="B295" s="1" t="s">
        <v>19</v>
      </c>
      <c r="C295" s="1" t="s">
        <v>14</v>
      </c>
      <c r="D295" s="2">
        <v>46044.0</v>
      </c>
      <c r="E295" s="2">
        <v>46048.0</v>
      </c>
      <c r="F295" s="1">
        <v>7527.0</v>
      </c>
    </row>
    <row r="296">
      <c r="A296" s="1" t="s">
        <v>315</v>
      </c>
      <c r="B296" s="1" t="s">
        <v>13</v>
      </c>
      <c r="C296" s="1" t="s">
        <v>11</v>
      </c>
      <c r="D296" s="2">
        <v>46083.0</v>
      </c>
      <c r="E296" s="2">
        <v>46089.0</v>
      </c>
      <c r="F296" s="1">
        <v>2323.0</v>
      </c>
    </row>
    <row r="297">
      <c r="A297" s="1" t="s">
        <v>318</v>
      </c>
      <c r="B297" s="1" t="s">
        <v>19</v>
      </c>
      <c r="C297" s="1" t="s">
        <v>14</v>
      </c>
      <c r="D297" s="2">
        <v>46071.0</v>
      </c>
      <c r="E297" s="2">
        <v>46075.0</v>
      </c>
      <c r="F297" s="1">
        <v>11893.0</v>
      </c>
    </row>
    <row r="298">
      <c r="A298" s="1" t="s">
        <v>321</v>
      </c>
      <c r="B298" s="1" t="s">
        <v>13</v>
      </c>
      <c r="C298" s="1" t="s">
        <v>11</v>
      </c>
      <c r="D298" s="2">
        <v>46035.0</v>
      </c>
      <c r="E298" s="2">
        <v>46042.0</v>
      </c>
      <c r="F298" s="1">
        <v>3655.0</v>
      </c>
    </row>
    <row r="299">
      <c r="A299" s="1" t="s">
        <v>322</v>
      </c>
      <c r="B299" s="1" t="s">
        <v>19</v>
      </c>
      <c r="C299" s="1" t="s">
        <v>14</v>
      </c>
      <c r="D299" s="2">
        <v>46055.0</v>
      </c>
      <c r="E299" s="2">
        <v>46059.0</v>
      </c>
      <c r="F299" s="1">
        <v>3593.0</v>
      </c>
    </row>
    <row r="300">
      <c r="A300" s="1" t="s">
        <v>323</v>
      </c>
      <c r="B300" s="1" t="s">
        <v>19</v>
      </c>
      <c r="C300" s="1" t="s">
        <v>14</v>
      </c>
      <c r="D300" s="2">
        <v>46055.0</v>
      </c>
      <c r="E300" s="2">
        <v>46059.0</v>
      </c>
      <c r="F300" s="1">
        <v>6158.0</v>
      </c>
    </row>
    <row r="301">
      <c r="A301" s="1" t="s">
        <v>324</v>
      </c>
      <c r="B301" s="1" t="s">
        <v>13</v>
      </c>
      <c r="C301" s="1" t="s">
        <v>14</v>
      </c>
      <c r="D301" s="2">
        <v>46025.0</v>
      </c>
      <c r="E301" s="2">
        <v>46029.0</v>
      </c>
      <c r="F301" s="1">
        <v>4278.0</v>
      </c>
    </row>
    <row r="302">
      <c r="A302" s="1" t="s">
        <v>325</v>
      </c>
      <c r="B302" s="1" t="s">
        <v>13</v>
      </c>
      <c r="C302" s="1" t="s">
        <v>16</v>
      </c>
      <c r="D302" s="2">
        <v>46031.0</v>
      </c>
      <c r="E302" s="2">
        <v>46033.0</v>
      </c>
      <c r="F302" s="1">
        <v>3396.0</v>
      </c>
    </row>
    <row r="303">
      <c r="A303" s="1" t="s">
        <v>326</v>
      </c>
      <c r="B303" s="1" t="s">
        <v>19</v>
      </c>
      <c r="C303" s="1" t="s">
        <v>14</v>
      </c>
      <c r="D303" s="2">
        <v>46044.0</v>
      </c>
      <c r="E303" s="3">
        <v>46048.0</v>
      </c>
      <c r="F303" s="1">
        <v>1488.0</v>
      </c>
    </row>
    <row r="304">
      <c r="A304" s="1" t="s">
        <v>327</v>
      </c>
      <c r="B304" s="1" t="s">
        <v>10</v>
      </c>
      <c r="C304" s="1" t="s">
        <v>14</v>
      </c>
      <c r="D304" s="2">
        <v>46053.0</v>
      </c>
      <c r="E304" s="3">
        <v>46057.0</v>
      </c>
      <c r="F304" s="1">
        <v>4616.0</v>
      </c>
    </row>
    <row r="305">
      <c r="A305" s="1" t="s">
        <v>328</v>
      </c>
      <c r="B305" s="1" t="s">
        <v>13</v>
      </c>
      <c r="C305" s="1" t="s">
        <v>16</v>
      </c>
      <c r="D305" s="3">
        <v>46052.0</v>
      </c>
      <c r="E305" s="2">
        <v>46054.0</v>
      </c>
      <c r="F305" s="1">
        <v>6946.0</v>
      </c>
    </row>
    <row r="306">
      <c r="A306" s="1" t="s">
        <v>329</v>
      </c>
      <c r="B306" s="1" t="s">
        <v>13</v>
      </c>
      <c r="C306" s="1" t="s">
        <v>16</v>
      </c>
      <c r="D306" s="2">
        <v>46061.0</v>
      </c>
      <c r="E306" s="2">
        <v>46064.0</v>
      </c>
      <c r="F306" s="1">
        <v>4679.0</v>
      </c>
    </row>
    <row r="307">
      <c r="A307" s="1" t="s">
        <v>330</v>
      </c>
      <c r="B307" s="1" t="s">
        <v>10</v>
      </c>
      <c r="C307" s="1" t="s">
        <v>14</v>
      </c>
      <c r="D307" s="2">
        <v>46031.0</v>
      </c>
      <c r="E307" s="2">
        <v>46040.0</v>
      </c>
      <c r="F307" s="1">
        <v>2182.0</v>
      </c>
    </row>
    <row r="308">
      <c r="A308" s="1" t="s">
        <v>331</v>
      </c>
      <c r="B308" s="1" t="s">
        <v>10</v>
      </c>
      <c r="C308" s="1" t="s">
        <v>11</v>
      </c>
      <c r="D308" s="2">
        <v>46082.0</v>
      </c>
      <c r="E308" s="2">
        <v>46088.0</v>
      </c>
      <c r="F308" s="1">
        <v>6126.0</v>
      </c>
    </row>
    <row r="309">
      <c r="A309" s="1" t="s">
        <v>332</v>
      </c>
      <c r="B309" s="1" t="s">
        <v>13</v>
      </c>
      <c r="C309" s="1" t="s">
        <v>14</v>
      </c>
      <c r="D309" s="2">
        <v>46043.0</v>
      </c>
      <c r="E309" s="2">
        <v>46047.0</v>
      </c>
      <c r="F309" s="1">
        <v>7924.0</v>
      </c>
    </row>
    <row r="310">
      <c r="A310" s="1" t="s">
        <v>333</v>
      </c>
      <c r="B310" s="1" t="s">
        <v>13</v>
      </c>
      <c r="C310" s="1" t="s">
        <v>11</v>
      </c>
      <c r="D310" s="3">
        <v>46048.0</v>
      </c>
      <c r="E310" s="2">
        <v>46055.0</v>
      </c>
      <c r="F310" s="1">
        <v>1433.0</v>
      </c>
    </row>
    <row r="311">
      <c r="A311" s="1" t="s">
        <v>334</v>
      </c>
      <c r="B311" s="1" t="s">
        <v>13</v>
      </c>
      <c r="C311" s="1" t="s">
        <v>14</v>
      </c>
      <c r="D311" s="2">
        <v>46070.0</v>
      </c>
      <c r="E311" s="2">
        <v>46074.0</v>
      </c>
      <c r="F311" s="1">
        <v>4098.0</v>
      </c>
    </row>
    <row r="312">
      <c r="A312" s="1" t="s">
        <v>335</v>
      </c>
      <c r="B312" s="1" t="s">
        <v>13</v>
      </c>
      <c r="C312" s="1" t="s">
        <v>11</v>
      </c>
      <c r="D312" s="2">
        <v>46060.0</v>
      </c>
      <c r="E312" s="2">
        <v>46066.0</v>
      </c>
      <c r="F312" s="1">
        <v>11925.0</v>
      </c>
    </row>
    <row r="313">
      <c r="A313" s="1" t="s">
        <v>336</v>
      </c>
      <c r="B313" s="1" t="s">
        <v>19</v>
      </c>
      <c r="C313" s="1" t="s">
        <v>14</v>
      </c>
      <c r="D313" s="3">
        <v>46055.0</v>
      </c>
      <c r="E313" s="2">
        <v>46059.0</v>
      </c>
      <c r="F313" s="1">
        <v>2480.0</v>
      </c>
    </row>
    <row r="314">
      <c r="A314" s="1" t="s">
        <v>337</v>
      </c>
      <c r="B314" s="1" t="s">
        <v>19</v>
      </c>
      <c r="C314" s="1" t="s">
        <v>16</v>
      </c>
      <c r="D314" s="2">
        <v>46057.0</v>
      </c>
      <c r="E314" s="2">
        <v>46059.0</v>
      </c>
      <c r="F314" s="1">
        <v>10547.0</v>
      </c>
    </row>
    <row r="315">
      <c r="A315" s="1" t="s">
        <v>338</v>
      </c>
      <c r="B315" s="1" t="s">
        <v>19</v>
      </c>
      <c r="C315" s="1" t="s">
        <v>11</v>
      </c>
      <c r="D315" s="2">
        <v>46068.0</v>
      </c>
      <c r="E315" s="2">
        <v>46077.0</v>
      </c>
      <c r="F315" s="1">
        <v>3556.0</v>
      </c>
    </row>
    <row r="316">
      <c r="A316" s="1" t="s">
        <v>339</v>
      </c>
      <c r="B316" s="1" t="s">
        <v>13</v>
      </c>
      <c r="C316" s="1" t="s">
        <v>14</v>
      </c>
      <c r="D316" s="2">
        <v>46042.0</v>
      </c>
      <c r="E316" s="2">
        <v>46048.0</v>
      </c>
      <c r="F316" s="1">
        <v>9484.0</v>
      </c>
    </row>
    <row r="317">
      <c r="A317" s="1" t="s">
        <v>340</v>
      </c>
      <c r="B317" s="1" t="s">
        <v>19</v>
      </c>
      <c r="C317" s="1" t="s">
        <v>14</v>
      </c>
      <c r="D317" s="2">
        <v>46075.0</v>
      </c>
      <c r="E317" s="2">
        <v>46079.0</v>
      </c>
      <c r="F317" s="1">
        <v>1291.0</v>
      </c>
    </row>
    <row r="318">
      <c r="A318" s="1" t="s">
        <v>341</v>
      </c>
      <c r="B318" s="1" t="s">
        <v>13</v>
      </c>
      <c r="C318" s="1" t="s">
        <v>16</v>
      </c>
      <c r="D318" s="2">
        <v>46046.0</v>
      </c>
      <c r="E318" s="2">
        <v>46048.0</v>
      </c>
      <c r="F318" s="1">
        <v>10501.0</v>
      </c>
    </row>
    <row r="319">
      <c r="A319" s="1" t="s">
        <v>342</v>
      </c>
      <c r="B319" s="1" t="s">
        <v>13</v>
      </c>
      <c r="C319" s="1" t="s">
        <v>11</v>
      </c>
      <c r="D319" s="2">
        <v>46066.0</v>
      </c>
      <c r="E319" s="2">
        <v>46072.0</v>
      </c>
      <c r="F319" s="1">
        <v>5890.0</v>
      </c>
    </row>
    <row r="320">
      <c r="A320" s="1" t="s">
        <v>343</v>
      </c>
      <c r="B320" s="1" t="s">
        <v>19</v>
      </c>
      <c r="C320" s="1" t="s">
        <v>11</v>
      </c>
      <c r="D320" s="3">
        <v>46049.0</v>
      </c>
      <c r="E320" s="2">
        <v>46055.0</v>
      </c>
      <c r="F320" s="1">
        <v>7135.0</v>
      </c>
    </row>
    <row r="321">
      <c r="A321" s="1" t="s">
        <v>344</v>
      </c>
      <c r="B321" s="1" t="s">
        <v>13</v>
      </c>
      <c r="C321" s="1" t="s">
        <v>11</v>
      </c>
      <c r="D321" s="2">
        <v>46042.0</v>
      </c>
      <c r="E321" s="2">
        <v>46048.0</v>
      </c>
      <c r="F321" s="1">
        <v>2755.0</v>
      </c>
    </row>
    <row r="322">
      <c r="A322" s="1" t="s">
        <v>345</v>
      </c>
      <c r="B322" s="1" t="s">
        <v>19</v>
      </c>
      <c r="C322" s="1" t="s">
        <v>16</v>
      </c>
      <c r="D322" s="2">
        <v>46080.0</v>
      </c>
      <c r="E322" s="2">
        <v>46082.0</v>
      </c>
      <c r="F322" s="1">
        <v>4110.0</v>
      </c>
    </row>
    <row r="323">
      <c r="A323" s="1" t="s">
        <v>346</v>
      </c>
      <c r="B323" s="1" t="s">
        <v>19</v>
      </c>
      <c r="C323" s="1" t="s">
        <v>11</v>
      </c>
      <c r="D323" s="2">
        <v>46078.0</v>
      </c>
      <c r="E323" s="2">
        <v>46085.0</v>
      </c>
      <c r="F323" s="1">
        <v>2107.0</v>
      </c>
    </row>
    <row r="324">
      <c r="A324" s="1" t="s">
        <v>347</v>
      </c>
      <c r="B324" s="1" t="s">
        <v>19</v>
      </c>
      <c r="C324" s="1" t="s">
        <v>11</v>
      </c>
      <c r="D324" s="2">
        <v>46063.0</v>
      </c>
      <c r="E324" s="2">
        <v>46069.0</v>
      </c>
      <c r="F324" s="1">
        <v>5679.0</v>
      </c>
    </row>
    <row r="325">
      <c r="A325" s="1" t="s">
        <v>348</v>
      </c>
      <c r="B325" s="1" t="s">
        <v>19</v>
      </c>
      <c r="C325" s="1" t="s">
        <v>14</v>
      </c>
      <c r="D325" s="2">
        <v>46061.0</v>
      </c>
      <c r="E325" s="2">
        <v>46065.0</v>
      </c>
      <c r="F325" s="1">
        <v>7073.0</v>
      </c>
    </row>
    <row r="326">
      <c r="A326" s="1" t="s">
        <v>349</v>
      </c>
      <c r="B326" s="1" t="s">
        <v>19</v>
      </c>
      <c r="C326" s="1" t="s">
        <v>14</v>
      </c>
      <c r="D326" s="2">
        <v>46039.0</v>
      </c>
      <c r="E326" s="2">
        <v>46046.0</v>
      </c>
      <c r="F326" s="1">
        <v>1484.0</v>
      </c>
    </row>
    <row r="327">
      <c r="A327" s="1" t="s">
        <v>350</v>
      </c>
      <c r="B327" s="1" t="s">
        <v>10</v>
      </c>
      <c r="C327" s="1" t="s">
        <v>16</v>
      </c>
      <c r="D327" s="3">
        <v>46073.0</v>
      </c>
      <c r="E327" s="2">
        <v>46076.0</v>
      </c>
      <c r="F327" s="1">
        <v>6276.0</v>
      </c>
    </row>
    <row r="328">
      <c r="A328" s="1" t="s">
        <v>351</v>
      </c>
      <c r="B328" s="1" t="s">
        <v>10</v>
      </c>
      <c r="C328" s="1" t="s">
        <v>11</v>
      </c>
      <c r="D328" s="3">
        <v>46060.0</v>
      </c>
      <c r="E328" s="3">
        <v>46066.0</v>
      </c>
      <c r="F328" s="1">
        <v>4176.0</v>
      </c>
    </row>
    <row r="329">
      <c r="A329" s="1" t="s">
        <v>352</v>
      </c>
      <c r="B329" s="1" t="s">
        <v>10</v>
      </c>
      <c r="C329" s="1" t="s">
        <v>14</v>
      </c>
      <c r="D329" s="2">
        <v>46037.0</v>
      </c>
      <c r="E329" s="3">
        <v>46041.0</v>
      </c>
      <c r="F329" s="1">
        <v>3880.0</v>
      </c>
    </row>
    <row r="330">
      <c r="A330" s="1" t="s">
        <v>353</v>
      </c>
      <c r="B330" s="1" t="s">
        <v>10</v>
      </c>
      <c r="C330" s="1" t="s">
        <v>16</v>
      </c>
      <c r="D330" s="2">
        <v>46026.0</v>
      </c>
      <c r="F330" s="1">
        <v>9211.0</v>
      </c>
    </row>
    <row r="331">
      <c r="A331" s="1" t="s">
        <v>354</v>
      </c>
      <c r="B331" s="1" t="s">
        <v>10</v>
      </c>
      <c r="C331" s="1" t="s">
        <v>11</v>
      </c>
      <c r="D331" s="3">
        <v>46053.0</v>
      </c>
      <c r="F331" s="1">
        <v>9282.0</v>
      </c>
    </row>
    <row r="332">
      <c r="A332" s="1" t="s">
        <v>355</v>
      </c>
      <c r="B332" s="1" t="s">
        <v>19</v>
      </c>
      <c r="C332" s="1" t="s">
        <v>16</v>
      </c>
      <c r="D332" s="2">
        <v>46056.0</v>
      </c>
      <c r="F332" s="1">
        <v>1550.0</v>
      </c>
    </row>
    <row r="333">
      <c r="A333" s="1" t="s">
        <v>356</v>
      </c>
      <c r="B333" s="1" t="s">
        <v>13</v>
      </c>
      <c r="C333" s="1" t="s">
        <v>11</v>
      </c>
      <c r="D333" s="2">
        <v>46069.0</v>
      </c>
      <c r="E333" s="3">
        <v>46076.0</v>
      </c>
      <c r="F333" s="1">
        <v>4133.0</v>
      </c>
    </row>
    <row r="334">
      <c r="A334" s="1" t="s">
        <v>357</v>
      </c>
      <c r="B334" s="1" t="s">
        <v>13</v>
      </c>
      <c r="C334" s="1" t="s">
        <v>14</v>
      </c>
      <c r="D334" s="2">
        <v>46072.0</v>
      </c>
      <c r="E334" s="2">
        <v>46076.0</v>
      </c>
      <c r="F334" s="1">
        <v>6842.0</v>
      </c>
    </row>
    <row r="335">
      <c r="A335" s="1" t="s">
        <v>358</v>
      </c>
      <c r="B335" s="1" t="s">
        <v>19</v>
      </c>
      <c r="C335" s="1" t="s">
        <v>11</v>
      </c>
      <c r="D335" s="2">
        <v>46032.0</v>
      </c>
      <c r="E335" s="3">
        <v>46038.0</v>
      </c>
      <c r="F335" s="1">
        <v>1459.0</v>
      </c>
    </row>
    <row r="336">
      <c r="A336" s="1" t="s">
        <v>359</v>
      </c>
      <c r="B336" s="1" t="s">
        <v>13</v>
      </c>
      <c r="C336" s="1" t="s">
        <v>11</v>
      </c>
      <c r="D336" s="2">
        <v>46038.0</v>
      </c>
      <c r="E336" s="2">
        <v>46044.0</v>
      </c>
      <c r="F336" s="1">
        <v>6559.0</v>
      </c>
    </row>
    <row r="337">
      <c r="A337" s="1" t="s">
        <v>360</v>
      </c>
      <c r="B337" s="1" t="s">
        <v>13</v>
      </c>
      <c r="C337" s="1" t="s">
        <v>11</v>
      </c>
      <c r="D337" s="2">
        <v>46059.0</v>
      </c>
      <c r="E337" s="2">
        <v>46065.0</v>
      </c>
      <c r="F337" s="1">
        <v>9384.0</v>
      </c>
    </row>
    <row r="338">
      <c r="A338" s="1" t="s">
        <v>361</v>
      </c>
      <c r="B338" s="1" t="s">
        <v>10</v>
      </c>
      <c r="C338" s="1" t="s">
        <v>11</v>
      </c>
      <c r="D338" s="2">
        <v>46030.0</v>
      </c>
      <c r="E338" s="2">
        <v>46038.0</v>
      </c>
      <c r="F338" s="1">
        <v>6155.0</v>
      </c>
    </row>
    <row r="339">
      <c r="A339" s="1" t="s">
        <v>362</v>
      </c>
      <c r="B339" s="1" t="s">
        <v>10</v>
      </c>
      <c r="C339" s="1" t="s">
        <v>16</v>
      </c>
      <c r="D339" s="3">
        <v>46024.0</v>
      </c>
      <c r="E339" s="2">
        <v>46027.0</v>
      </c>
      <c r="F339" s="1">
        <v>4973.0</v>
      </c>
    </row>
    <row r="340">
      <c r="A340" s="1" t="s">
        <v>363</v>
      </c>
      <c r="B340" s="1" t="s">
        <v>10</v>
      </c>
      <c r="C340" s="1" t="s">
        <v>11</v>
      </c>
      <c r="D340" s="3">
        <v>46043.0</v>
      </c>
      <c r="E340" s="2">
        <v>46049.0</v>
      </c>
      <c r="F340" s="1">
        <v>3446.0</v>
      </c>
    </row>
    <row r="341">
      <c r="A341" s="1" t="s">
        <v>364</v>
      </c>
      <c r="B341" s="1" t="s">
        <v>13</v>
      </c>
      <c r="C341" s="1" t="s">
        <v>16</v>
      </c>
      <c r="D341" s="2">
        <v>46032.0</v>
      </c>
      <c r="E341" s="2">
        <v>46034.0</v>
      </c>
      <c r="F341" s="1">
        <v>8225.0</v>
      </c>
    </row>
    <row r="342">
      <c r="A342" s="1" t="s">
        <v>365</v>
      </c>
      <c r="B342" s="1" t="s">
        <v>10</v>
      </c>
      <c r="C342" s="1" t="s">
        <v>11</v>
      </c>
      <c r="D342" s="2">
        <v>46067.0</v>
      </c>
      <c r="E342" s="2">
        <v>46073.0</v>
      </c>
      <c r="F342" s="1">
        <v>1026.0</v>
      </c>
    </row>
    <row r="343">
      <c r="A343" s="1" t="s">
        <v>366</v>
      </c>
      <c r="B343" s="1" t="s">
        <v>19</v>
      </c>
      <c r="C343" s="1" t="s">
        <v>11</v>
      </c>
      <c r="D343" s="3">
        <v>46049.0</v>
      </c>
      <c r="E343" s="2">
        <v>46055.0</v>
      </c>
      <c r="F343" s="1">
        <v>3724.0</v>
      </c>
    </row>
    <row r="344">
      <c r="A344" s="1" t="s">
        <v>367</v>
      </c>
      <c r="B344" s="1" t="s">
        <v>13</v>
      </c>
      <c r="C344" s="1" t="s">
        <v>16</v>
      </c>
      <c r="D344" s="2">
        <v>46072.0</v>
      </c>
      <c r="E344" s="2">
        <v>46074.0</v>
      </c>
      <c r="F344" s="1">
        <v>10945.0</v>
      </c>
    </row>
    <row r="345">
      <c r="A345" s="1" t="s">
        <v>368</v>
      </c>
      <c r="B345" s="1" t="s">
        <v>13</v>
      </c>
      <c r="C345" s="1" t="s">
        <v>14</v>
      </c>
      <c r="D345" s="2">
        <v>46081.0</v>
      </c>
      <c r="E345" s="2">
        <v>46085.0</v>
      </c>
      <c r="F345" s="1">
        <v>2375.0</v>
      </c>
    </row>
    <row r="346">
      <c r="A346" s="1" t="s">
        <v>369</v>
      </c>
      <c r="B346" s="1" t="s">
        <v>10</v>
      </c>
      <c r="C346" s="1" t="s">
        <v>14</v>
      </c>
      <c r="D346" s="2">
        <v>46078.0</v>
      </c>
      <c r="E346" s="2">
        <v>46082.0</v>
      </c>
      <c r="F346" s="1">
        <v>2263.0</v>
      </c>
    </row>
    <row r="347">
      <c r="A347" s="1" t="s">
        <v>370</v>
      </c>
      <c r="B347" s="1" t="s">
        <v>19</v>
      </c>
      <c r="C347" s="1" t="s">
        <v>16</v>
      </c>
      <c r="D347" s="3">
        <v>46069.0</v>
      </c>
      <c r="E347" s="3">
        <v>46071.0</v>
      </c>
      <c r="F347" s="1">
        <v>9212.0</v>
      </c>
    </row>
    <row r="348">
      <c r="A348" s="1" t="s">
        <v>371</v>
      </c>
      <c r="B348" s="1" t="s">
        <v>10</v>
      </c>
      <c r="C348" s="1" t="s">
        <v>11</v>
      </c>
      <c r="D348" s="2">
        <v>46068.0</v>
      </c>
      <c r="E348" s="2">
        <v>46074.0</v>
      </c>
      <c r="F348" s="1">
        <v>6297.0</v>
      </c>
    </row>
    <row r="349">
      <c r="A349" s="1" t="s">
        <v>372</v>
      </c>
      <c r="B349" s="1" t="s">
        <v>10</v>
      </c>
      <c r="C349" s="1" t="s">
        <v>14</v>
      </c>
      <c r="D349" s="2">
        <v>46056.0</v>
      </c>
      <c r="E349" s="2">
        <v>46060.0</v>
      </c>
      <c r="F349" s="1">
        <v>9708.0</v>
      </c>
    </row>
    <row r="350">
      <c r="A350" s="1" t="s">
        <v>373</v>
      </c>
      <c r="B350" s="1" t="s">
        <v>13</v>
      </c>
      <c r="C350" s="1" t="s">
        <v>11</v>
      </c>
      <c r="D350" s="2">
        <v>46058.0</v>
      </c>
      <c r="E350" s="2">
        <v>46064.0</v>
      </c>
      <c r="F350" s="1">
        <v>7599.0</v>
      </c>
    </row>
    <row r="351">
      <c r="A351" s="1" t="s">
        <v>374</v>
      </c>
      <c r="B351" s="1" t="s">
        <v>13</v>
      </c>
      <c r="C351" s="1" t="s">
        <v>16</v>
      </c>
      <c r="D351" s="2">
        <v>46065.0</v>
      </c>
      <c r="E351" s="2">
        <v>46067.0</v>
      </c>
      <c r="F351" s="1">
        <v>5609.0</v>
      </c>
    </row>
    <row r="352">
      <c r="A352" s="1" t="s">
        <v>375</v>
      </c>
      <c r="B352" s="1" t="s">
        <v>10</v>
      </c>
      <c r="C352" s="1" t="s">
        <v>16</v>
      </c>
      <c r="D352" s="2">
        <v>46056.0</v>
      </c>
      <c r="E352" s="2">
        <v>46058.0</v>
      </c>
      <c r="F352" s="1">
        <v>7144.0</v>
      </c>
    </row>
    <row r="353">
      <c r="A353" s="1" t="s">
        <v>376</v>
      </c>
      <c r="B353" s="1" t="s">
        <v>13</v>
      </c>
      <c r="C353" s="1" t="s">
        <v>14</v>
      </c>
      <c r="D353" s="3">
        <v>46043.0</v>
      </c>
      <c r="E353" s="3">
        <v>46049.0</v>
      </c>
      <c r="F353" s="1">
        <v>616.0</v>
      </c>
    </row>
    <row r="354">
      <c r="A354" s="1" t="s">
        <v>377</v>
      </c>
      <c r="B354" s="1" t="s">
        <v>13</v>
      </c>
      <c r="C354" s="1" t="s">
        <v>14</v>
      </c>
      <c r="D354" s="2">
        <v>46052.0</v>
      </c>
      <c r="E354" s="2">
        <v>46056.0</v>
      </c>
      <c r="F354" s="1">
        <v>2933.0</v>
      </c>
    </row>
    <row r="355">
      <c r="A355" s="1" t="s">
        <v>378</v>
      </c>
      <c r="B355" s="1" t="s">
        <v>13</v>
      </c>
      <c r="C355" s="1" t="s">
        <v>11</v>
      </c>
      <c r="D355" s="2">
        <v>46044.0</v>
      </c>
      <c r="E355" s="2">
        <v>46050.0</v>
      </c>
      <c r="F355" s="1">
        <v>5963.0</v>
      </c>
    </row>
    <row r="356">
      <c r="A356" s="1" t="s">
        <v>379</v>
      </c>
      <c r="B356" s="1" t="s">
        <v>10</v>
      </c>
      <c r="C356" s="1" t="s">
        <v>14</v>
      </c>
      <c r="D356" s="2">
        <v>46045.0</v>
      </c>
      <c r="E356" s="2">
        <v>46049.0</v>
      </c>
      <c r="F356" s="1">
        <v>1083.0</v>
      </c>
    </row>
    <row r="357">
      <c r="A357" s="1" t="s">
        <v>380</v>
      </c>
      <c r="B357" s="1" t="s">
        <v>13</v>
      </c>
      <c r="C357" s="1" t="s">
        <v>16</v>
      </c>
      <c r="D357" s="2">
        <v>46072.0</v>
      </c>
      <c r="E357" s="2">
        <v>46074.0</v>
      </c>
      <c r="F357" s="1">
        <v>9086.0</v>
      </c>
    </row>
    <row r="358">
      <c r="A358" s="1" t="s">
        <v>381</v>
      </c>
      <c r="B358" s="1" t="s">
        <v>10</v>
      </c>
      <c r="C358" s="1" t="s">
        <v>16</v>
      </c>
      <c r="D358" s="2">
        <v>46066.0</v>
      </c>
      <c r="E358" s="2">
        <v>46068.0</v>
      </c>
      <c r="F358" s="1">
        <v>4288.0</v>
      </c>
    </row>
    <row r="359">
      <c r="A359" s="1" t="s">
        <v>382</v>
      </c>
      <c r="B359" s="1" t="s">
        <v>13</v>
      </c>
      <c r="C359" s="1" t="s">
        <v>16</v>
      </c>
      <c r="D359" s="2">
        <v>46074.0</v>
      </c>
      <c r="E359" s="2">
        <v>46076.0</v>
      </c>
      <c r="F359" s="1">
        <v>11460.0</v>
      </c>
    </row>
    <row r="360">
      <c r="A360" s="1" t="s">
        <v>383</v>
      </c>
      <c r="B360" s="1" t="s">
        <v>19</v>
      </c>
      <c r="C360" s="1" t="s">
        <v>11</v>
      </c>
      <c r="D360" s="3">
        <v>46039.0</v>
      </c>
      <c r="E360" s="2">
        <v>46048.0</v>
      </c>
      <c r="F360" s="1">
        <v>4667.0</v>
      </c>
    </row>
    <row r="361">
      <c r="A361" s="1" t="s">
        <v>384</v>
      </c>
      <c r="B361" s="1" t="s">
        <v>13</v>
      </c>
      <c r="C361" s="1" t="s">
        <v>14</v>
      </c>
      <c r="D361" s="2">
        <v>46053.0</v>
      </c>
      <c r="E361" s="2">
        <v>46057.0</v>
      </c>
      <c r="F361" s="1">
        <v>8965.0</v>
      </c>
    </row>
    <row r="362">
      <c r="A362" s="1" t="s">
        <v>385</v>
      </c>
      <c r="B362" s="1" t="s">
        <v>10</v>
      </c>
      <c r="C362" s="1" t="s">
        <v>11</v>
      </c>
      <c r="D362" s="2">
        <v>46038.0</v>
      </c>
      <c r="E362" s="2">
        <v>46044.0</v>
      </c>
      <c r="F362" s="1">
        <v>10705.0</v>
      </c>
    </row>
    <row r="363">
      <c r="A363" s="1" t="s">
        <v>386</v>
      </c>
      <c r="B363" s="1" t="s">
        <v>13</v>
      </c>
      <c r="C363" s="1" t="s">
        <v>11</v>
      </c>
      <c r="D363" s="2">
        <v>46058.0</v>
      </c>
      <c r="E363" s="2">
        <v>46064.0</v>
      </c>
      <c r="F363" s="1">
        <v>1889.0</v>
      </c>
    </row>
    <row r="364">
      <c r="A364" s="1" t="s">
        <v>387</v>
      </c>
      <c r="B364" s="1" t="s">
        <v>10</v>
      </c>
      <c r="C364" s="1" t="s">
        <v>14</v>
      </c>
      <c r="D364" s="2">
        <v>46037.0</v>
      </c>
      <c r="E364" s="3">
        <v>46041.0</v>
      </c>
      <c r="F364" s="1">
        <v>8857.0</v>
      </c>
    </row>
    <row r="365">
      <c r="A365" s="1" t="s">
        <v>388</v>
      </c>
      <c r="B365" s="1" t="s">
        <v>10</v>
      </c>
      <c r="C365" s="1" t="s">
        <v>16</v>
      </c>
      <c r="D365" s="2">
        <v>46072.0</v>
      </c>
      <c r="E365" s="2">
        <v>46074.0</v>
      </c>
      <c r="F365" s="1">
        <v>10259.0</v>
      </c>
    </row>
    <row r="366">
      <c r="A366" s="1" t="s">
        <v>389</v>
      </c>
      <c r="B366" s="1" t="s">
        <v>13</v>
      </c>
      <c r="C366" s="1" t="s">
        <v>14</v>
      </c>
      <c r="D366" s="3">
        <v>46068.0</v>
      </c>
      <c r="E366" s="2">
        <v>46075.0</v>
      </c>
      <c r="F366" s="1">
        <v>6654.0</v>
      </c>
    </row>
    <row r="367">
      <c r="A367" s="1" t="s">
        <v>390</v>
      </c>
      <c r="B367" s="1" t="s">
        <v>10</v>
      </c>
      <c r="C367" s="1" t="s">
        <v>14</v>
      </c>
      <c r="D367" s="2">
        <v>46067.0</v>
      </c>
      <c r="E367" s="2">
        <v>46071.0</v>
      </c>
      <c r="F367" s="1">
        <v>5920.0</v>
      </c>
    </row>
    <row r="368">
      <c r="A368" s="1" t="s">
        <v>391</v>
      </c>
      <c r="B368" s="1" t="s">
        <v>13</v>
      </c>
      <c r="C368" s="1" t="s">
        <v>14</v>
      </c>
      <c r="D368" s="3">
        <v>46054.0</v>
      </c>
      <c r="E368" s="3">
        <v>46061.0</v>
      </c>
      <c r="F368" s="1">
        <v>9420.0</v>
      </c>
    </row>
    <row r="369">
      <c r="A369" s="1" t="s">
        <v>393</v>
      </c>
      <c r="B369" s="1" t="s">
        <v>19</v>
      </c>
      <c r="C369" s="1" t="s">
        <v>11</v>
      </c>
      <c r="D369" s="2">
        <v>46053.0</v>
      </c>
      <c r="E369" s="3">
        <v>46061.0</v>
      </c>
      <c r="F369" s="1">
        <v>2543.0</v>
      </c>
    </row>
    <row r="370">
      <c r="A370" s="1" t="s">
        <v>394</v>
      </c>
      <c r="B370" s="1" t="s">
        <v>10</v>
      </c>
      <c r="C370" s="1" t="s">
        <v>14</v>
      </c>
      <c r="D370" s="2">
        <v>46058.0</v>
      </c>
      <c r="E370" s="3">
        <v>46062.0</v>
      </c>
      <c r="F370" s="1">
        <v>4697.0</v>
      </c>
    </row>
    <row r="371">
      <c r="A371" s="1" t="s">
        <v>395</v>
      </c>
      <c r="B371" s="1" t="s">
        <v>10</v>
      </c>
      <c r="C371" s="1" t="s">
        <v>16</v>
      </c>
      <c r="D371" s="2">
        <v>46069.0</v>
      </c>
      <c r="E371" s="2">
        <v>46071.0</v>
      </c>
      <c r="F371" s="1">
        <v>3996.0</v>
      </c>
    </row>
    <row r="372">
      <c r="A372" s="1" t="s">
        <v>396</v>
      </c>
      <c r="B372" s="1" t="s">
        <v>10</v>
      </c>
      <c r="C372" s="1" t="s">
        <v>14</v>
      </c>
      <c r="D372" s="2">
        <v>46041.0</v>
      </c>
      <c r="E372" s="3">
        <v>46045.0</v>
      </c>
      <c r="F372" s="1">
        <v>1278.0</v>
      </c>
    </row>
    <row r="373">
      <c r="A373" s="1" t="s">
        <v>397</v>
      </c>
      <c r="B373" s="1" t="s">
        <v>10</v>
      </c>
      <c r="C373" s="1" t="s">
        <v>16</v>
      </c>
      <c r="D373" s="2">
        <v>46059.0</v>
      </c>
      <c r="E373" s="2">
        <v>46061.0</v>
      </c>
      <c r="F373" s="1">
        <v>713.0</v>
      </c>
    </row>
    <row r="374">
      <c r="A374" s="1" t="s">
        <v>398</v>
      </c>
      <c r="B374" s="1" t="s">
        <v>19</v>
      </c>
      <c r="C374" s="1" t="s">
        <v>16</v>
      </c>
      <c r="D374" s="2">
        <v>46057.0</v>
      </c>
      <c r="F374" s="1">
        <v>4262.0</v>
      </c>
    </row>
    <row r="375">
      <c r="A375" s="1" t="s">
        <v>399</v>
      </c>
      <c r="B375" s="1" t="s">
        <v>19</v>
      </c>
      <c r="C375" s="1" t="s">
        <v>16</v>
      </c>
      <c r="D375" s="2">
        <v>46080.0</v>
      </c>
      <c r="E375" s="2">
        <v>46082.0</v>
      </c>
      <c r="F375" s="1">
        <v>10268.0</v>
      </c>
    </row>
    <row r="376">
      <c r="A376" s="1" t="s">
        <v>400</v>
      </c>
      <c r="B376" s="1" t="s">
        <v>13</v>
      </c>
      <c r="C376" s="1" t="s">
        <v>11</v>
      </c>
      <c r="D376" s="2">
        <v>46075.0</v>
      </c>
      <c r="E376" s="2">
        <v>46081.0</v>
      </c>
      <c r="F376" s="1">
        <v>11140.0</v>
      </c>
    </row>
    <row r="377">
      <c r="A377" s="1" t="s">
        <v>401</v>
      </c>
      <c r="B377" s="1" t="s">
        <v>10</v>
      </c>
      <c r="C377" s="1" t="s">
        <v>11</v>
      </c>
      <c r="D377" s="2">
        <v>46072.0</v>
      </c>
      <c r="E377" s="2">
        <v>46078.0</v>
      </c>
      <c r="F377" s="1">
        <v>7231.0</v>
      </c>
    </row>
    <row r="378">
      <c r="A378" s="1" t="s">
        <v>402</v>
      </c>
      <c r="B378" s="1" t="s">
        <v>10</v>
      </c>
      <c r="C378" s="1" t="s">
        <v>11</v>
      </c>
      <c r="D378" s="2">
        <v>46032.0</v>
      </c>
      <c r="E378" s="2">
        <v>46040.0</v>
      </c>
      <c r="F378" s="1">
        <v>11628.0</v>
      </c>
    </row>
    <row r="379">
      <c r="A379" s="1" t="s">
        <v>403</v>
      </c>
      <c r="B379" s="1" t="s">
        <v>19</v>
      </c>
      <c r="C379" s="1" t="s">
        <v>14</v>
      </c>
      <c r="D379" s="2">
        <v>46025.0</v>
      </c>
      <c r="E379" s="2">
        <v>46029.0</v>
      </c>
      <c r="F379" s="1">
        <v>3617.0</v>
      </c>
    </row>
    <row r="380">
      <c r="A380" s="1" t="s">
        <v>404</v>
      </c>
      <c r="B380" s="1" t="s">
        <v>13</v>
      </c>
      <c r="C380" s="1" t="s">
        <v>11</v>
      </c>
      <c r="D380" s="2">
        <v>46068.0</v>
      </c>
      <c r="E380" s="2">
        <v>46075.0</v>
      </c>
      <c r="F380" s="1">
        <v>6291.0</v>
      </c>
    </row>
    <row r="381">
      <c r="A381" s="1" t="s">
        <v>405</v>
      </c>
      <c r="B381" s="1" t="s">
        <v>19</v>
      </c>
      <c r="C381" s="1" t="s">
        <v>14</v>
      </c>
      <c r="D381" s="2">
        <v>46045.0</v>
      </c>
      <c r="E381" s="2">
        <v>46049.0</v>
      </c>
      <c r="F381" s="1">
        <v>9283.0</v>
      </c>
    </row>
    <row r="382">
      <c r="A382" s="1" t="s">
        <v>406</v>
      </c>
      <c r="B382" s="1" t="s">
        <v>19</v>
      </c>
      <c r="C382" s="1" t="s">
        <v>16</v>
      </c>
      <c r="D382" s="2">
        <v>46064.0</v>
      </c>
      <c r="E382" s="2">
        <v>46066.0</v>
      </c>
      <c r="F382" s="1">
        <v>3220.0</v>
      </c>
    </row>
    <row r="383">
      <c r="A383" s="1" t="s">
        <v>407</v>
      </c>
      <c r="B383" s="1" t="s">
        <v>13</v>
      </c>
      <c r="C383" s="1" t="s">
        <v>14</v>
      </c>
      <c r="D383" s="2">
        <v>46070.0</v>
      </c>
      <c r="E383" s="2">
        <v>46074.0</v>
      </c>
      <c r="F383" s="1">
        <v>9405.0</v>
      </c>
    </row>
    <row r="384">
      <c r="A384" s="1" t="s">
        <v>408</v>
      </c>
      <c r="B384" s="1" t="s">
        <v>10</v>
      </c>
      <c r="C384" s="1" t="s">
        <v>16</v>
      </c>
      <c r="D384" s="2">
        <v>46036.0</v>
      </c>
      <c r="E384" s="2">
        <v>46038.0</v>
      </c>
      <c r="F384" s="1">
        <v>9627.0</v>
      </c>
    </row>
    <row r="385">
      <c r="A385" s="1" t="s">
        <v>409</v>
      </c>
      <c r="B385" s="1" t="s">
        <v>10</v>
      </c>
      <c r="C385" s="1" t="s">
        <v>14</v>
      </c>
      <c r="D385" s="2">
        <v>46075.0</v>
      </c>
      <c r="E385" s="2">
        <v>46081.0</v>
      </c>
      <c r="F385" s="1">
        <v>6547.0</v>
      </c>
    </row>
    <row r="386">
      <c r="A386" s="1" t="s">
        <v>410</v>
      </c>
      <c r="B386" s="1" t="s">
        <v>19</v>
      </c>
      <c r="C386" s="1" t="s">
        <v>11</v>
      </c>
      <c r="D386" s="2">
        <v>46040.0</v>
      </c>
      <c r="E386" s="2">
        <v>46047.0</v>
      </c>
      <c r="F386" s="1">
        <v>8532.0</v>
      </c>
    </row>
    <row r="387">
      <c r="A387" s="1" t="s">
        <v>411</v>
      </c>
      <c r="B387" s="1" t="s">
        <v>19</v>
      </c>
      <c r="C387" s="1" t="s">
        <v>16</v>
      </c>
      <c r="D387" s="2">
        <v>46067.0</v>
      </c>
      <c r="E387" s="2">
        <v>46070.0</v>
      </c>
      <c r="F387" s="1">
        <v>501.0</v>
      </c>
    </row>
    <row r="388">
      <c r="A388" s="1" t="s">
        <v>412</v>
      </c>
      <c r="B388" s="1" t="s">
        <v>19</v>
      </c>
      <c r="C388" s="1" t="s">
        <v>14</v>
      </c>
      <c r="D388" s="3">
        <v>46031.0</v>
      </c>
      <c r="E388" s="2">
        <v>46035.0</v>
      </c>
      <c r="F388" s="1">
        <v>6868.0</v>
      </c>
    </row>
    <row r="389">
      <c r="A389" s="1" t="s">
        <v>413</v>
      </c>
      <c r="B389" s="1" t="s">
        <v>13</v>
      </c>
      <c r="C389" s="1" t="s">
        <v>14</v>
      </c>
      <c r="D389" s="2">
        <v>46062.0</v>
      </c>
      <c r="E389" s="2">
        <v>46066.0</v>
      </c>
      <c r="F389" s="1">
        <v>11540.0</v>
      </c>
    </row>
    <row r="390">
      <c r="A390" s="1" t="s">
        <v>414</v>
      </c>
      <c r="B390" s="1" t="s">
        <v>13</v>
      </c>
      <c r="C390" s="1" t="s">
        <v>11</v>
      </c>
      <c r="D390" s="2">
        <v>46060.0</v>
      </c>
      <c r="F390" s="1">
        <v>2449.0</v>
      </c>
    </row>
    <row r="391">
      <c r="A391" s="1" t="s">
        <v>415</v>
      </c>
      <c r="B391" s="1" t="s">
        <v>19</v>
      </c>
      <c r="C391" s="1" t="s">
        <v>11</v>
      </c>
      <c r="D391" s="2">
        <v>46038.0</v>
      </c>
      <c r="E391" s="2">
        <v>46045.0</v>
      </c>
      <c r="F391" s="1">
        <v>7232.0</v>
      </c>
    </row>
    <row r="392">
      <c r="A392" s="1" t="s">
        <v>416</v>
      </c>
      <c r="B392" s="1" t="s">
        <v>10</v>
      </c>
      <c r="C392" s="1" t="s">
        <v>11</v>
      </c>
      <c r="D392" s="2">
        <v>46065.0</v>
      </c>
      <c r="E392" s="2">
        <v>46076.0</v>
      </c>
      <c r="F392" s="1">
        <v>8333.0</v>
      </c>
    </row>
    <row r="393">
      <c r="A393" s="1" t="s">
        <v>417</v>
      </c>
      <c r="B393" s="1" t="s">
        <v>10</v>
      </c>
      <c r="C393" s="1" t="s">
        <v>14</v>
      </c>
      <c r="D393" s="2">
        <v>46037.0</v>
      </c>
      <c r="E393" s="2">
        <v>46041.0</v>
      </c>
      <c r="F393" s="1">
        <v>1417.0</v>
      </c>
    </row>
    <row r="394">
      <c r="A394" s="1" t="s">
        <v>418</v>
      </c>
      <c r="B394" s="1" t="s">
        <v>13</v>
      </c>
      <c r="C394" s="1" t="s">
        <v>11</v>
      </c>
      <c r="D394" s="3">
        <v>46037.0</v>
      </c>
      <c r="E394" s="2">
        <v>46043.0</v>
      </c>
      <c r="F394" s="1">
        <v>3674.0</v>
      </c>
    </row>
    <row r="395">
      <c r="A395" s="1" t="s">
        <v>419</v>
      </c>
      <c r="B395" s="1" t="s">
        <v>13</v>
      </c>
      <c r="C395" s="1" t="s">
        <v>14</v>
      </c>
      <c r="D395" s="2">
        <v>46029.0</v>
      </c>
      <c r="E395" s="2">
        <v>46034.0</v>
      </c>
      <c r="F395" s="1">
        <v>10933.0</v>
      </c>
    </row>
    <row r="396">
      <c r="A396" s="1" t="s">
        <v>420</v>
      </c>
      <c r="B396" s="1" t="s">
        <v>10</v>
      </c>
      <c r="C396" s="1" t="s">
        <v>11</v>
      </c>
      <c r="D396" s="2">
        <v>46044.0</v>
      </c>
      <c r="E396" s="2">
        <v>46050.0</v>
      </c>
      <c r="F396" s="1">
        <v>7514.0</v>
      </c>
    </row>
    <row r="397">
      <c r="A397" s="1" t="s">
        <v>421</v>
      </c>
      <c r="B397" s="1" t="s">
        <v>13</v>
      </c>
      <c r="C397" s="1" t="s">
        <v>14</v>
      </c>
      <c r="D397" s="2">
        <v>46053.0</v>
      </c>
      <c r="E397" s="2">
        <v>46060.0</v>
      </c>
      <c r="F397" s="1">
        <v>589.0</v>
      </c>
    </row>
    <row r="398">
      <c r="A398" s="1" t="s">
        <v>422</v>
      </c>
      <c r="B398" s="1" t="s">
        <v>10</v>
      </c>
      <c r="C398" s="1" t="s">
        <v>16</v>
      </c>
      <c r="D398" s="2">
        <v>46066.0</v>
      </c>
      <c r="F398" s="1">
        <v>2209.0</v>
      </c>
    </row>
    <row r="399">
      <c r="A399" s="1" t="s">
        <v>423</v>
      </c>
      <c r="B399" s="1" t="s">
        <v>19</v>
      </c>
      <c r="C399" s="1" t="s">
        <v>11</v>
      </c>
      <c r="D399" s="3">
        <v>46031.0</v>
      </c>
      <c r="E399" s="2">
        <v>46037.0</v>
      </c>
      <c r="F399" s="1">
        <v>10861.0</v>
      </c>
    </row>
    <row r="400">
      <c r="A400" s="1" t="s">
        <v>424</v>
      </c>
      <c r="B400" s="1" t="s">
        <v>13</v>
      </c>
      <c r="C400" s="1" t="s">
        <v>16</v>
      </c>
      <c r="D400" s="2">
        <v>46058.0</v>
      </c>
      <c r="E400" s="2">
        <v>46061.0</v>
      </c>
      <c r="F400" s="1">
        <v>3541.0</v>
      </c>
    </row>
    <row r="401">
      <c r="A401" s="1" t="s">
        <v>425</v>
      </c>
      <c r="B401" s="1" t="s">
        <v>19</v>
      </c>
      <c r="C401" s="1" t="s">
        <v>14</v>
      </c>
      <c r="D401" s="2">
        <v>46049.0</v>
      </c>
      <c r="E401" s="2">
        <v>46054.0</v>
      </c>
      <c r="F401" s="1">
        <v>605.0</v>
      </c>
    </row>
    <row r="402">
      <c r="A402" s="1" t="s">
        <v>426</v>
      </c>
      <c r="B402" s="1" t="s">
        <v>13</v>
      </c>
      <c r="C402" s="1" t="s">
        <v>16</v>
      </c>
      <c r="D402" s="2">
        <v>46082.0</v>
      </c>
      <c r="E402" s="2">
        <v>46084.0</v>
      </c>
      <c r="F402" s="1">
        <v>9578.0</v>
      </c>
    </row>
    <row r="403">
      <c r="A403" s="1" t="s">
        <v>427</v>
      </c>
      <c r="B403" s="1" t="s">
        <v>13</v>
      </c>
      <c r="C403" s="1" t="s">
        <v>11</v>
      </c>
      <c r="D403" s="2">
        <v>46053.0</v>
      </c>
      <c r="E403" s="2">
        <v>46061.0</v>
      </c>
      <c r="F403" s="1">
        <v>9119.0</v>
      </c>
    </row>
    <row r="404">
      <c r="A404" s="1" t="s">
        <v>428</v>
      </c>
      <c r="B404" s="1" t="s">
        <v>19</v>
      </c>
      <c r="C404" s="1" t="s">
        <v>11</v>
      </c>
      <c r="D404" s="2">
        <v>46035.0</v>
      </c>
      <c r="E404" s="2">
        <v>46041.0</v>
      </c>
      <c r="F404" s="1">
        <v>2395.0</v>
      </c>
    </row>
    <row r="405">
      <c r="A405" s="1" t="s">
        <v>429</v>
      </c>
      <c r="B405" s="1" t="s">
        <v>19</v>
      </c>
      <c r="C405" s="1" t="s">
        <v>14</v>
      </c>
      <c r="D405" s="2">
        <v>46041.0</v>
      </c>
      <c r="E405" s="2">
        <v>46047.0</v>
      </c>
      <c r="F405" s="1">
        <v>6590.0</v>
      </c>
    </row>
    <row r="406">
      <c r="A406" s="1" t="s">
        <v>430</v>
      </c>
      <c r="B406" s="1" t="s">
        <v>13</v>
      </c>
      <c r="C406" s="1" t="s">
        <v>11</v>
      </c>
      <c r="D406" s="2">
        <v>46041.0</v>
      </c>
      <c r="E406" s="2">
        <v>46047.0</v>
      </c>
      <c r="F406" s="1">
        <v>9008.0</v>
      </c>
    </row>
    <row r="407">
      <c r="A407" s="1" t="s">
        <v>431</v>
      </c>
      <c r="B407" s="1" t="s">
        <v>19</v>
      </c>
      <c r="C407" s="1" t="s">
        <v>16</v>
      </c>
      <c r="D407" s="2">
        <v>46026.0</v>
      </c>
      <c r="E407" s="3">
        <v>46030.0</v>
      </c>
      <c r="F407" s="1">
        <v>6582.0</v>
      </c>
    </row>
    <row r="408">
      <c r="A408" s="1" t="s">
        <v>432</v>
      </c>
      <c r="B408" s="1" t="s">
        <v>10</v>
      </c>
      <c r="C408" s="1" t="s">
        <v>11</v>
      </c>
      <c r="D408" s="2">
        <v>46028.0</v>
      </c>
      <c r="E408" s="2">
        <v>46034.0</v>
      </c>
      <c r="F408" s="1">
        <v>1134.0</v>
      </c>
    </row>
    <row r="409">
      <c r="A409" s="1" t="s">
        <v>433</v>
      </c>
      <c r="B409" s="1" t="s">
        <v>10</v>
      </c>
      <c r="C409" s="1" t="s">
        <v>16</v>
      </c>
      <c r="D409" s="2">
        <v>46059.0</v>
      </c>
      <c r="E409" s="3">
        <v>46061.0</v>
      </c>
      <c r="F409" s="1">
        <v>2425.0</v>
      </c>
    </row>
    <row r="410">
      <c r="A410" s="1" t="s">
        <v>434</v>
      </c>
      <c r="B410" s="1" t="s">
        <v>19</v>
      </c>
      <c r="C410" s="1" t="s">
        <v>11</v>
      </c>
      <c r="D410" s="2">
        <v>46057.0</v>
      </c>
      <c r="E410" s="2">
        <v>46065.0</v>
      </c>
      <c r="F410" s="1">
        <v>2556.0</v>
      </c>
    </row>
    <row r="411">
      <c r="A411" s="1" t="s">
        <v>435</v>
      </c>
      <c r="B411" s="1" t="s">
        <v>10</v>
      </c>
      <c r="C411" s="1" t="s">
        <v>14</v>
      </c>
      <c r="D411" s="2">
        <v>46069.0</v>
      </c>
      <c r="E411" s="2">
        <v>46073.0</v>
      </c>
      <c r="F411" s="1">
        <v>7417.0</v>
      </c>
    </row>
    <row r="412">
      <c r="A412" s="1" t="s">
        <v>436</v>
      </c>
      <c r="B412" s="1" t="s">
        <v>10</v>
      </c>
      <c r="C412" s="1" t="s">
        <v>11</v>
      </c>
      <c r="D412" s="3">
        <v>46081.0</v>
      </c>
      <c r="E412" s="2">
        <v>46087.0</v>
      </c>
      <c r="F412" s="1">
        <v>3644.0</v>
      </c>
    </row>
    <row r="413">
      <c r="A413" s="1" t="s">
        <v>437</v>
      </c>
      <c r="B413" s="1" t="s">
        <v>10</v>
      </c>
      <c r="C413" s="1" t="s">
        <v>14</v>
      </c>
      <c r="D413" s="2">
        <v>46049.0</v>
      </c>
      <c r="E413" s="2">
        <v>46056.0</v>
      </c>
      <c r="F413" s="1">
        <v>10962.0</v>
      </c>
    </row>
    <row r="414">
      <c r="A414" s="1" t="s">
        <v>438</v>
      </c>
      <c r="B414" s="1" t="s">
        <v>13</v>
      </c>
      <c r="C414" s="1" t="s">
        <v>11</v>
      </c>
      <c r="D414" s="2">
        <v>46082.0</v>
      </c>
      <c r="E414" s="2">
        <v>46091.0</v>
      </c>
      <c r="F414" s="1">
        <v>10131.0</v>
      </c>
    </row>
    <row r="415">
      <c r="A415" s="1" t="s">
        <v>439</v>
      </c>
      <c r="B415" s="1" t="s">
        <v>10</v>
      </c>
      <c r="C415" s="1" t="s">
        <v>14</v>
      </c>
      <c r="D415" s="2">
        <v>46076.0</v>
      </c>
      <c r="E415" s="3">
        <v>46080.0</v>
      </c>
      <c r="F415" s="1">
        <v>1052.0</v>
      </c>
    </row>
    <row r="416">
      <c r="A416" s="1" t="s">
        <v>440</v>
      </c>
      <c r="B416" s="1" t="s">
        <v>10</v>
      </c>
      <c r="C416" s="1" t="s">
        <v>16</v>
      </c>
      <c r="D416" s="2">
        <v>46073.0</v>
      </c>
      <c r="E416" s="2">
        <v>46075.0</v>
      </c>
      <c r="F416" s="1">
        <v>9407.0</v>
      </c>
    </row>
    <row r="417">
      <c r="A417" s="1" t="s">
        <v>441</v>
      </c>
      <c r="B417" s="1" t="s">
        <v>19</v>
      </c>
      <c r="C417" s="1" t="s">
        <v>16</v>
      </c>
      <c r="D417" s="2">
        <v>46034.0</v>
      </c>
      <c r="E417" s="2">
        <v>46036.0</v>
      </c>
      <c r="F417" s="1">
        <v>5883.0</v>
      </c>
    </row>
    <row r="418">
      <c r="A418" s="1" t="s">
        <v>442</v>
      </c>
      <c r="B418" s="1" t="s">
        <v>10</v>
      </c>
      <c r="C418" s="1" t="s">
        <v>16</v>
      </c>
      <c r="D418" s="2">
        <v>46078.0</v>
      </c>
      <c r="E418" s="2">
        <v>46080.0</v>
      </c>
      <c r="F418" s="1">
        <v>4411.0</v>
      </c>
    </row>
    <row r="419">
      <c r="A419" s="1" t="s">
        <v>443</v>
      </c>
      <c r="B419" s="1" t="s">
        <v>13</v>
      </c>
      <c r="C419" s="1" t="s">
        <v>16</v>
      </c>
      <c r="D419" s="2">
        <v>46079.0</v>
      </c>
      <c r="E419" s="2">
        <v>46081.0</v>
      </c>
      <c r="F419" s="1">
        <v>10405.0</v>
      </c>
    </row>
    <row r="420">
      <c r="A420" s="1" t="s">
        <v>444</v>
      </c>
      <c r="B420" s="1" t="s">
        <v>13</v>
      </c>
      <c r="C420" s="1" t="s">
        <v>14</v>
      </c>
      <c r="D420" s="2">
        <v>46023.0</v>
      </c>
      <c r="E420" s="2">
        <v>46027.0</v>
      </c>
      <c r="F420" s="1">
        <v>3889.0</v>
      </c>
    </row>
    <row r="421">
      <c r="A421" s="1" t="s">
        <v>445</v>
      </c>
      <c r="B421" s="1" t="s">
        <v>19</v>
      </c>
      <c r="C421" s="1" t="s">
        <v>14</v>
      </c>
      <c r="D421" s="2">
        <v>46059.0</v>
      </c>
      <c r="F421" s="1">
        <v>9799.0</v>
      </c>
    </row>
    <row r="422">
      <c r="A422" s="1" t="s">
        <v>446</v>
      </c>
      <c r="B422" s="1" t="s">
        <v>13</v>
      </c>
      <c r="C422" s="1" t="s">
        <v>16</v>
      </c>
      <c r="D422" s="2">
        <v>46029.0</v>
      </c>
      <c r="E422" s="2">
        <v>46032.0</v>
      </c>
      <c r="F422" s="1">
        <v>8942.0</v>
      </c>
    </row>
    <row r="423">
      <c r="A423" s="1" t="s">
        <v>447</v>
      </c>
      <c r="B423" s="1" t="s">
        <v>13</v>
      </c>
      <c r="C423" s="1" t="s">
        <v>16</v>
      </c>
      <c r="D423" s="3">
        <v>46041.0</v>
      </c>
      <c r="E423" s="2">
        <v>46044.0</v>
      </c>
      <c r="F423" s="1">
        <v>2930.0</v>
      </c>
    </row>
    <row r="424">
      <c r="A424" s="1" t="s">
        <v>448</v>
      </c>
      <c r="B424" s="1" t="s">
        <v>10</v>
      </c>
      <c r="C424" s="1" t="s">
        <v>16</v>
      </c>
      <c r="D424" s="2">
        <v>46064.0</v>
      </c>
      <c r="E424" s="2">
        <v>46066.0</v>
      </c>
      <c r="F424" s="1">
        <v>10746.0</v>
      </c>
    </row>
    <row r="425">
      <c r="A425" s="1" t="s">
        <v>449</v>
      </c>
      <c r="B425" s="1" t="s">
        <v>10</v>
      </c>
      <c r="C425" s="1" t="s">
        <v>11</v>
      </c>
      <c r="D425" s="2">
        <v>46056.0</v>
      </c>
      <c r="E425" s="2">
        <v>46062.0</v>
      </c>
      <c r="F425" s="1">
        <v>958.0</v>
      </c>
    </row>
    <row r="426">
      <c r="A426" s="1" t="s">
        <v>450</v>
      </c>
      <c r="B426" s="1" t="s">
        <v>13</v>
      </c>
      <c r="C426" s="1" t="s">
        <v>16</v>
      </c>
      <c r="D426" s="2">
        <v>46079.0</v>
      </c>
      <c r="E426" s="2">
        <v>46081.0</v>
      </c>
      <c r="F426" s="1">
        <v>707.0</v>
      </c>
    </row>
    <row r="427">
      <c r="A427" s="1" t="s">
        <v>451</v>
      </c>
      <c r="B427" s="1" t="s">
        <v>19</v>
      </c>
      <c r="C427" s="1" t="s">
        <v>14</v>
      </c>
      <c r="D427" s="3">
        <v>46077.0</v>
      </c>
      <c r="E427" s="2">
        <v>46081.0</v>
      </c>
      <c r="F427" s="1">
        <v>1399.0</v>
      </c>
    </row>
    <row r="428">
      <c r="A428" s="1" t="s">
        <v>452</v>
      </c>
      <c r="B428" s="1" t="s">
        <v>19</v>
      </c>
      <c r="C428" s="1" t="s">
        <v>14</v>
      </c>
      <c r="D428" s="2">
        <v>46052.0</v>
      </c>
      <c r="E428" s="2">
        <v>46056.0</v>
      </c>
      <c r="F428" s="1">
        <v>521.0</v>
      </c>
    </row>
    <row r="429">
      <c r="A429" s="1" t="s">
        <v>453</v>
      </c>
      <c r="B429" s="1" t="s">
        <v>10</v>
      </c>
      <c r="C429" s="1" t="s">
        <v>14</v>
      </c>
      <c r="D429" s="2">
        <v>46035.0</v>
      </c>
      <c r="E429" s="2">
        <v>46041.0</v>
      </c>
      <c r="F429" s="1">
        <v>9101.0</v>
      </c>
    </row>
    <row r="430">
      <c r="A430" s="1" t="s">
        <v>454</v>
      </c>
      <c r="B430" s="1" t="s">
        <v>13</v>
      </c>
      <c r="C430" s="1" t="s">
        <v>11</v>
      </c>
      <c r="D430" s="3">
        <v>46030.0</v>
      </c>
      <c r="E430" s="2">
        <v>46036.0</v>
      </c>
      <c r="F430" s="1">
        <v>1394.0</v>
      </c>
    </row>
    <row r="431">
      <c r="A431" s="1" t="s">
        <v>455</v>
      </c>
      <c r="B431" s="1" t="s">
        <v>10</v>
      </c>
      <c r="C431" s="1" t="s">
        <v>11</v>
      </c>
      <c r="D431" s="2">
        <v>46033.0</v>
      </c>
      <c r="E431" s="2">
        <v>46039.0</v>
      </c>
      <c r="F431" s="1">
        <v>1014.0</v>
      </c>
    </row>
    <row r="432">
      <c r="A432" s="1" t="s">
        <v>456</v>
      </c>
      <c r="B432" s="1" t="s">
        <v>19</v>
      </c>
      <c r="C432" s="1" t="s">
        <v>11</v>
      </c>
      <c r="D432" s="2">
        <v>46052.0</v>
      </c>
      <c r="E432" s="2">
        <v>46058.0</v>
      </c>
      <c r="F432" s="1">
        <v>7794.0</v>
      </c>
    </row>
    <row r="433">
      <c r="A433" s="1" t="s">
        <v>457</v>
      </c>
      <c r="B433" s="1" t="s">
        <v>13</v>
      </c>
      <c r="C433" s="1" t="s">
        <v>11</v>
      </c>
      <c r="D433" s="2">
        <v>46039.0</v>
      </c>
      <c r="E433" s="2">
        <v>46046.0</v>
      </c>
      <c r="F433" s="1">
        <v>5404.0</v>
      </c>
    </row>
    <row r="434">
      <c r="A434" s="1" t="s">
        <v>458</v>
      </c>
      <c r="B434" s="1" t="s">
        <v>10</v>
      </c>
      <c r="C434" s="1" t="s">
        <v>14</v>
      </c>
      <c r="D434" s="2">
        <v>46034.0</v>
      </c>
      <c r="E434" s="2">
        <v>46038.0</v>
      </c>
      <c r="F434" s="1">
        <v>8367.0</v>
      </c>
    </row>
    <row r="435">
      <c r="A435" s="1" t="s">
        <v>459</v>
      </c>
      <c r="B435" s="1" t="s">
        <v>10</v>
      </c>
      <c r="C435" s="1" t="s">
        <v>11</v>
      </c>
      <c r="D435" s="3">
        <v>46070.0</v>
      </c>
      <c r="E435" s="2">
        <v>46076.0</v>
      </c>
      <c r="F435" s="1">
        <v>4609.0</v>
      </c>
    </row>
    <row r="436">
      <c r="A436" s="1" t="s">
        <v>460</v>
      </c>
      <c r="B436" s="1" t="s">
        <v>19</v>
      </c>
      <c r="C436" s="1" t="s">
        <v>11</v>
      </c>
      <c r="D436" s="2">
        <v>46073.0</v>
      </c>
      <c r="E436" s="2">
        <v>46079.0</v>
      </c>
      <c r="F436" s="1">
        <v>7679.0</v>
      </c>
    </row>
    <row r="437">
      <c r="A437" s="1" t="s">
        <v>461</v>
      </c>
      <c r="B437" s="1" t="s">
        <v>10</v>
      </c>
      <c r="C437" s="1" t="s">
        <v>11</v>
      </c>
      <c r="D437" s="2">
        <v>46059.0</v>
      </c>
      <c r="E437" s="2">
        <v>46066.0</v>
      </c>
      <c r="F437" s="1">
        <v>10826.0</v>
      </c>
    </row>
    <row r="438">
      <c r="A438" s="1" t="s">
        <v>462</v>
      </c>
      <c r="B438" s="1" t="s">
        <v>19</v>
      </c>
      <c r="C438" s="1" t="s">
        <v>16</v>
      </c>
      <c r="D438" s="2">
        <v>46071.0</v>
      </c>
      <c r="E438" s="2">
        <v>46073.0</v>
      </c>
      <c r="F438" s="1">
        <v>11648.0</v>
      </c>
    </row>
    <row r="439">
      <c r="A439" s="1" t="s">
        <v>463</v>
      </c>
      <c r="B439" s="1" t="s">
        <v>19</v>
      </c>
      <c r="C439" s="1" t="s">
        <v>14</v>
      </c>
      <c r="D439" s="2">
        <v>46034.0</v>
      </c>
      <c r="E439" s="3">
        <v>46040.0</v>
      </c>
      <c r="F439" s="1">
        <v>2060.0</v>
      </c>
    </row>
    <row r="440">
      <c r="A440" s="1" t="s">
        <v>464</v>
      </c>
      <c r="B440" s="1" t="s">
        <v>13</v>
      </c>
      <c r="C440" s="1" t="s">
        <v>11</v>
      </c>
      <c r="D440" s="2">
        <v>46077.0</v>
      </c>
      <c r="E440" s="2">
        <v>46084.0</v>
      </c>
      <c r="F440" s="1">
        <v>1766.0</v>
      </c>
    </row>
    <row r="441">
      <c r="A441" s="1" t="s">
        <v>465</v>
      </c>
      <c r="B441" s="1" t="s">
        <v>13</v>
      </c>
      <c r="C441" s="1" t="s">
        <v>16</v>
      </c>
      <c r="D441" s="2">
        <v>46080.0</v>
      </c>
      <c r="E441" s="3">
        <v>46082.0</v>
      </c>
      <c r="F441" s="1">
        <v>10861.0</v>
      </c>
    </row>
    <row r="442">
      <c r="A442" s="1" t="s">
        <v>466</v>
      </c>
      <c r="B442" s="1" t="s">
        <v>10</v>
      </c>
      <c r="C442" s="1" t="s">
        <v>14</v>
      </c>
      <c r="D442" s="2">
        <v>46075.0</v>
      </c>
      <c r="E442" s="2">
        <v>46079.0</v>
      </c>
      <c r="F442" s="1">
        <v>4138.0</v>
      </c>
    </row>
    <row r="443">
      <c r="A443" s="1" t="s">
        <v>467</v>
      </c>
      <c r="B443" s="1" t="s">
        <v>19</v>
      </c>
      <c r="C443" s="1" t="s">
        <v>11</v>
      </c>
      <c r="D443" s="2">
        <v>46055.0</v>
      </c>
      <c r="E443" s="2">
        <v>46066.0</v>
      </c>
      <c r="F443" s="1">
        <v>9441.0</v>
      </c>
    </row>
    <row r="444">
      <c r="A444" s="1" t="s">
        <v>468</v>
      </c>
      <c r="B444" s="1" t="s">
        <v>19</v>
      </c>
      <c r="C444" s="1" t="s">
        <v>14</v>
      </c>
      <c r="D444" s="2">
        <v>46028.0</v>
      </c>
      <c r="E444" s="2">
        <v>46032.0</v>
      </c>
      <c r="F444" s="1">
        <v>3927.0</v>
      </c>
    </row>
    <row r="445">
      <c r="A445" s="1" t="s">
        <v>469</v>
      </c>
      <c r="B445" s="1" t="s">
        <v>13</v>
      </c>
      <c r="C445" s="1" t="s">
        <v>14</v>
      </c>
      <c r="D445" s="3">
        <v>46065.0</v>
      </c>
      <c r="E445" s="2">
        <v>46069.0</v>
      </c>
      <c r="F445" s="1">
        <v>5280.0</v>
      </c>
    </row>
    <row r="446">
      <c r="A446" s="1" t="s">
        <v>470</v>
      </c>
      <c r="B446" s="1" t="s">
        <v>13</v>
      </c>
      <c r="C446" s="1" t="s">
        <v>16</v>
      </c>
      <c r="D446" s="2">
        <v>46034.0</v>
      </c>
      <c r="E446" s="2">
        <v>46037.0</v>
      </c>
      <c r="F446" s="1">
        <v>2427.0</v>
      </c>
    </row>
    <row r="447">
      <c r="A447" s="1" t="s">
        <v>471</v>
      </c>
      <c r="B447" s="1" t="s">
        <v>19</v>
      </c>
      <c r="C447" s="1" t="s">
        <v>11</v>
      </c>
      <c r="D447" s="3">
        <v>46053.0</v>
      </c>
      <c r="E447" s="3">
        <v>46062.0</v>
      </c>
      <c r="F447" s="1">
        <v>2856.0</v>
      </c>
    </row>
    <row r="448">
      <c r="A448" s="1" t="s">
        <v>472</v>
      </c>
      <c r="B448" s="1" t="s">
        <v>13</v>
      </c>
      <c r="C448" s="1" t="s">
        <v>14</v>
      </c>
      <c r="D448" s="2">
        <v>46082.0</v>
      </c>
      <c r="E448" s="2">
        <v>46091.0</v>
      </c>
      <c r="F448" s="1">
        <v>5290.0</v>
      </c>
    </row>
    <row r="449">
      <c r="A449" s="1" t="s">
        <v>473</v>
      </c>
      <c r="B449" s="1" t="s">
        <v>10</v>
      </c>
      <c r="C449" s="1" t="s">
        <v>16</v>
      </c>
      <c r="D449" s="2">
        <v>46023.0</v>
      </c>
      <c r="E449" s="2">
        <v>46026.0</v>
      </c>
      <c r="F449" s="1">
        <v>11027.0</v>
      </c>
    </row>
    <row r="450">
      <c r="A450" s="1" t="s">
        <v>474</v>
      </c>
      <c r="B450" s="1" t="s">
        <v>19</v>
      </c>
      <c r="C450" s="1" t="s">
        <v>14</v>
      </c>
      <c r="D450" s="2">
        <v>46047.0</v>
      </c>
      <c r="E450" s="2">
        <v>46051.0</v>
      </c>
      <c r="F450" s="1">
        <v>806.0</v>
      </c>
    </row>
    <row r="451">
      <c r="A451" s="1" t="s">
        <v>475</v>
      </c>
      <c r="B451" s="1" t="s">
        <v>13</v>
      </c>
      <c r="C451" s="1" t="s">
        <v>14</v>
      </c>
      <c r="D451" s="2">
        <v>46051.0</v>
      </c>
      <c r="E451" s="2">
        <v>46055.0</v>
      </c>
      <c r="F451" s="1">
        <v>8479.0</v>
      </c>
    </row>
    <row r="452">
      <c r="A452" s="1" t="s">
        <v>476</v>
      </c>
      <c r="B452" s="1" t="s">
        <v>10</v>
      </c>
      <c r="C452" s="1" t="s">
        <v>16</v>
      </c>
      <c r="D452" s="2">
        <v>46040.0</v>
      </c>
      <c r="E452" s="2">
        <v>46043.0</v>
      </c>
      <c r="F452" s="1">
        <v>4165.0</v>
      </c>
    </row>
    <row r="453">
      <c r="A453" s="1" t="s">
        <v>477</v>
      </c>
      <c r="B453" s="1" t="s">
        <v>19</v>
      </c>
      <c r="C453" s="1" t="s">
        <v>14</v>
      </c>
      <c r="D453" s="2">
        <v>46042.0</v>
      </c>
      <c r="E453" s="2">
        <v>46046.0</v>
      </c>
      <c r="F453" s="1">
        <v>10681.0</v>
      </c>
    </row>
    <row r="454">
      <c r="A454" s="1" t="s">
        <v>478</v>
      </c>
      <c r="B454" s="1" t="s">
        <v>10</v>
      </c>
      <c r="C454" s="1" t="s">
        <v>16</v>
      </c>
      <c r="D454" s="2">
        <v>46069.0</v>
      </c>
      <c r="E454" s="2">
        <v>46071.0</v>
      </c>
      <c r="F454" s="1">
        <v>7557.0</v>
      </c>
    </row>
    <row r="455">
      <c r="A455" s="1" t="s">
        <v>479</v>
      </c>
      <c r="B455" s="1" t="s">
        <v>10</v>
      </c>
      <c r="C455" s="1" t="s">
        <v>11</v>
      </c>
      <c r="D455" s="2">
        <v>46023.0</v>
      </c>
      <c r="E455" s="2">
        <v>46031.0</v>
      </c>
      <c r="F455" s="1">
        <v>1161.0</v>
      </c>
    </row>
    <row r="456">
      <c r="A456" s="1" t="s">
        <v>480</v>
      </c>
      <c r="B456" s="1" t="s">
        <v>19</v>
      </c>
      <c r="C456" s="1" t="s">
        <v>14</v>
      </c>
      <c r="D456" s="2">
        <v>46064.0</v>
      </c>
      <c r="E456" s="3">
        <v>46068.0</v>
      </c>
      <c r="F456" s="1">
        <v>5144.0</v>
      </c>
    </row>
    <row r="457">
      <c r="A457" s="1" t="s">
        <v>481</v>
      </c>
      <c r="B457" s="1" t="s">
        <v>10</v>
      </c>
      <c r="C457" s="1" t="s">
        <v>11</v>
      </c>
      <c r="D457" s="2">
        <v>46067.0</v>
      </c>
      <c r="E457" s="3">
        <v>46073.0</v>
      </c>
      <c r="F457" s="1">
        <v>9003.0</v>
      </c>
    </row>
    <row r="458">
      <c r="A458" s="1" t="s">
        <v>482</v>
      </c>
      <c r="B458" s="1" t="s">
        <v>13</v>
      </c>
      <c r="C458" s="1" t="s">
        <v>11</v>
      </c>
      <c r="D458" s="2">
        <v>46026.0</v>
      </c>
      <c r="E458" s="2">
        <v>46032.0</v>
      </c>
      <c r="F458" s="1">
        <v>3420.0</v>
      </c>
    </row>
    <row r="459">
      <c r="A459" s="1" t="s">
        <v>483</v>
      </c>
      <c r="B459" s="1" t="s">
        <v>13</v>
      </c>
      <c r="C459" s="1" t="s">
        <v>14</v>
      </c>
      <c r="D459" s="2">
        <v>46030.0</v>
      </c>
      <c r="E459" s="2">
        <v>46034.0</v>
      </c>
      <c r="F459" s="1">
        <v>9774.0</v>
      </c>
    </row>
    <row r="460">
      <c r="A460" s="1" t="s">
        <v>484</v>
      </c>
      <c r="B460" s="1" t="s">
        <v>13</v>
      </c>
      <c r="C460" s="1" t="s">
        <v>16</v>
      </c>
      <c r="D460" s="2">
        <v>46042.0</v>
      </c>
      <c r="E460" s="2">
        <v>46044.0</v>
      </c>
      <c r="F460" s="1">
        <v>11663.0</v>
      </c>
    </row>
    <row r="461">
      <c r="A461" s="1" t="s">
        <v>485</v>
      </c>
      <c r="B461" s="1" t="s">
        <v>10</v>
      </c>
      <c r="C461" s="1" t="s">
        <v>14</v>
      </c>
      <c r="D461" s="2">
        <v>46048.0</v>
      </c>
      <c r="E461" s="3">
        <v>46052.0</v>
      </c>
      <c r="F461" s="1">
        <v>9446.0</v>
      </c>
    </row>
    <row r="462">
      <c r="A462" s="1" t="s">
        <v>486</v>
      </c>
      <c r="B462" s="1" t="s">
        <v>13</v>
      </c>
      <c r="C462" s="1" t="s">
        <v>14</v>
      </c>
      <c r="D462" s="2">
        <v>46055.0</v>
      </c>
      <c r="E462" s="2">
        <v>46059.0</v>
      </c>
      <c r="F462" s="1">
        <v>6736.0</v>
      </c>
    </row>
    <row r="463">
      <c r="A463" s="1" t="s">
        <v>487</v>
      </c>
      <c r="B463" s="1" t="s">
        <v>10</v>
      </c>
      <c r="C463" s="1" t="s">
        <v>16</v>
      </c>
      <c r="D463" s="3">
        <v>46072.0</v>
      </c>
      <c r="E463" s="3">
        <v>46074.0</v>
      </c>
      <c r="F463" s="1">
        <v>6578.0</v>
      </c>
    </row>
    <row r="464">
      <c r="A464" s="1" t="s">
        <v>488</v>
      </c>
      <c r="B464" s="1" t="s">
        <v>13</v>
      </c>
      <c r="C464" s="1" t="s">
        <v>16</v>
      </c>
      <c r="D464" s="2">
        <v>46067.0</v>
      </c>
      <c r="E464" s="2">
        <v>46070.0</v>
      </c>
      <c r="F464" s="1">
        <v>852.0</v>
      </c>
    </row>
    <row r="465">
      <c r="A465" s="1" t="s">
        <v>489</v>
      </c>
      <c r="B465" s="1" t="s">
        <v>19</v>
      </c>
      <c r="C465" s="1" t="s">
        <v>14</v>
      </c>
      <c r="D465" s="2">
        <v>46063.0</v>
      </c>
      <c r="E465" s="2">
        <v>46067.0</v>
      </c>
      <c r="F465" s="1">
        <v>9594.0</v>
      </c>
    </row>
    <row r="466">
      <c r="A466" s="1" t="s">
        <v>490</v>
      </c>
      <c r="B466" s="1" t="s">
        <v>10</v>
      </c>
      <c r="C466" s="1" t="s">
        <v>16</v>
      </c>
      <c r="D466" s="2">
        <v>46046.0</v>
      </c>
      <c r="E466" s="2">
        <v>46051.0</v>
      </c>
      <c r="F466" s="1">
        <v>7505.0</v>
      </c>
    </row>
    <row r="467">
      <c r="A467" s="1" t="s">
        <v>491</v>
      </c>
      <c r="B467" s="1" t="s">
        <v>10</v>
      </c>
      <c r="C467" s="1" t="s">
        <v>11</v>
      </c>
      <c r="D467" s="2">
        <v>46037.0</v>
      </c>
      <c r="E467" s="2">
        <v>46043.0</v>
      </c>
      <c r="F467" s="1">
        <v>658.0</v>
      </c>
    </row>
    <row r="468">
      <c r="A468" s="1" t="s">
        <v>492</v>
      </c>
      <c r="B468" s="1" t="s">
        <v>13</v>
      </c>
      <c r="C468" s="1" t="s">
        <v>16</v>
      </c>
      <c r="D468" s="2">
        <v>46031.0</v>
      </c>
      <c r="E468" s="2">
        <v>46033.0</v>
      </c>
      <c r="F468" s="1">
        <v>10669.0</v>
      </c>
    </row>
    <row r="469">
      <c r="A469" s="1" t="s">
        <v>493</v>
      </c>
      <c r="B469" s="1" t="s">
        <v>19</v>
      </c>
      <c r="C469" s="1" t="s">
        <v>11</v>
      </c>
      <c r="D469" s="2">
        <v>46032.0</v>
      </c>
      <c r="E469" s="3">
        <v>46040.0</v>
      </c>
      <c r="F469" s="1">
        <v>1456.0</v>
      </c>
    </row>
    <row r="470">
      <c r="A470" s="1" t="s">
        <v>494</v>
      </c>
      <c r="B470" s="1" t="s">
        <v>13</v>
      </c>
      <c r="C470" s="1" t="s">
        <v>11</v>
      </c>
      <c r="D470" s="3">
        <v>46070.0</v>
      </c>
      <c r="E470" s="2">
        <v>46076.0</v>
      </c>
      <c r="F470" s="1">
        <v>2571.0</v>
      </c>
    </row>
    <row r="471">
      <c r="A471" s="1" t="s">
        <v>495</v>
      </c>
      <c r="B471" s="1" t="s">
        <v>13</v>
      </c>
      <c r="C471" s="1" t="s">
        <v>11</v>
      </c>
      <c r="D471" s="2">
        <v>46046.0</v>
      </c>
      <c r="E471" s="2">
        <v>46055.0</v>
      </c>
      <c r="F471" s="1">
        <v>9095.0</v>
      </c>
    </row>
    <row r="472">
      <c r="A472" s="1" t="s">
        <v>496</v>
      </c>
      <c r="B472" s="1" t="s">
        <v>19</v>
      </c>
      <c r="C472" s="1" t="s">
        <v>16</v>
      </c>
      <c r="D472" s="2">
        <v>46067.0</v>
      </c>
      <c r="E472" s="2">
        <v>46069.0</v>
      </c>
      <c r="F472" s="1">
        <v>11471.0</v>
      </c>
    </row>
    <row r="473">
      <c r="A473" s="1" t="s">
        <v>497</v>
      </c>
      <c r="B473" s="1" t="s">
        <v>19</v>
      </c>
      <c r="C473" s="1" t="s">
        <v>16</v>
      </c>
      <c r="D473" s="2">
        <v>46081.0</v>
      </c>
      <c r="E473" s="3">
        <v>46086.0</v>
      </c>
      <c r="F473" s="1">
        <v>10079.0</v>
      </c>
    </row>
    <row r="474">
      <c r="A474" s="1" t="s">
        <v>498</v>
      </c>
      <c r="B474" s="1" t="s">
        <v>13</v>
      </c>
      <c r="C474" s="1" t="s">
        <v>14</v>
      </c>
      <c r="D474" s="2">
        <v>46071.0</v>
      </c>
      <c r="E474" s="2">
        <v>46075.0</v>
      </c>
      <c r="F474" s="1">
        <v>3953.0</v>
      </c>
    </row>
    <row r="475">
      <c r="A475" s="1" t="s">
        <v>499</v>
      </c>
      <c r="B475" s="1" t="s">
        <v>19</v>
      </c>
      <c r="C475" s="1" t="s">
        <v>16</v>
      </c>
      <c r="D475" s="2">
        <v>46074.0</v>
      </c>
      <c r="E475" s="2">
        <v>46078.0</v>
      </c>
      <c r="F475" s="1">
        <v>7175.0</v>
      </c>
    </row>
    <row r="476">
      <c r="A476" s="1" t="s">
        <v>500</v>
      </c>
      <c r="B476" s="1" t="s">
        <v>13</v>
      </c>
      <c r="C476" s="1" t="s">
        <v>16</v>
      </c>
      <c r="D476" s="2">
        <v>46075.0</v>
      </c>
      <c r="E476" s="2">
        <v>46077.0</v>
      </c>
      <c r="F476" s="1">
        <v>1455.0</v>
      </c>
    </row>
    <row r="477">
      <c r="A477" s="1" t="s">
        <v>501</v>
      </c>
      <c r="B477" s="1" t="s">
        <v>10</v>
      </c>
      <c r="C477" s="1" t="s">
        <v>11</v>
      </c>
      <c r="D477" s="3">
        <v>46071.0</v>
      </c>
      <c r="E477" s="2">
        <v>46082.0</v>
      </c>
      <c r="F477" s="1">
        <v>6795.0</v>
      </c>
    </row>
    <row r="478">
      <c r="A478" s="1" t="s">
        <v>502</v>
      </c>
      <c r="B478" s="1" t="s">
        <v>13</v>
      </c>
      <c r="C478" s="1" t="s">
        <v>16</v>
      </c>
      <c r="D478" s="2">
        <v>46066.0</v>
      </c>
      <c r="E478" s="2">
        <v>46068.0</v>
      </c>
      <c r="F478" s="1">
        <v>2212.0</v>
      </c>
    </row>
    <row r="479">
      <c r="A479" s="1" t="s">
        <v>503</v>
      </c>
      <c r="B479" s="1" t="s">
        <v>10</v>
      </c>
      <c r="C479" s="1" t="s">
        <v>16</v>
      </c>
      <c r="D479" s="2">
        <v>46061.0</v>
      </c>
      <c r="E479" s="2">
        <v>46063.0</v>
      </c>
      <c r="F479" s="1">
        <v>5203.0</v>
      </c>
    </row>
    <row r="480">
      <c r="A480" s="1" t="s">
        <v>504</v>
      </c>
      <c r="B480" s="1" t="s">
        <v>13</v>
      </c>
      <c r="C480" s="1" t="s">
        <v>11</v>
      </c>
      <c r="D480" s="2">
        <v>46028.0</v>
      </c>
      <c r="E480" s="2">
        <v>46037.0</v>
      </c>
      <c r="F480" s="1">
        <v>7063.0</v>
      </c>
    </row>
    <row r="481">
      <c r="A481" s="1" t="s">
        <v>505</v>
      </c>
      <c r="B481" s="1" t="s">
        <v>19</v>
      </c>
      <c r="C481" s="1" t="s">
        <v>16</v>
      </c>
      <c r="D481" s="2">
        <v>46051.0</v>
      </c>
      <c r="E481" s="2">
        <v>46053.0</v>
      </c>
      <c r="F481" s="1">
        <v>9965.0</v>
      </c>
    </row>
    <row r="482">
      <c r="A482" s="1" t="s">
        <v>506</v>
      </c>
      <c r="B482" s="1" t="s">
        <v>10</v>
      </c>
      <c r="C482" s="1" t="s">
        <v>11</v>
      </c>
      <c r="D482" s="2">
        <v>46068.0</v>
      </c>
      <c r="E482" s="2">
        <v>46074.0</v>
      </c>
      <c r="F482" s="1">
        <v>6131.0</v>
      </c>
    </row>
    <row r="483">
      <c r="A483" s="1" t="s">
        <v>507</v>
      </c>
      <c r="B483" s="1" t="s">
        <v>19</v>
      </c>
      <c r="C483" s="1" t="s">
        <v>16</v>
      </c>
      <c r="D483" s="3">
        <v>46027.0</v>
      </c>
      <c r="E483" s="2">
        <v>46029.0</v>
      </c>
      <c r="F483" s="1">
        <v>11317.0</v>
      </c>
    </row>
    <row r="484">
      <c r="A484" s="1" t="s">
        <v>508</v>
      </c>
      <c r="B484" s="1" t="s">
        <v>10</v>
      </c>
      <c r="C484" s="1" t="s">
        <v>16</v>
      </c>
      <c r="D484" s="2">
        <v>46030.0</v>
      </c>
      <c r="E484" s="2">
        <v>46032.0</v>
      </c>
      <c r="F484" s="1">
        <v>11074.0</v>
      </c>
    </row>
    <row r="485">
      <c r="A485" s="1" t="s">
        <v>509</v>
      </c>
      <c r="B485" s="1" t="s">
        <v>10</v>
      </c>
      <c r="C485" s="1" t="s">
        <v>14</v>
      </c>
      <c r="D485" s="2">
        <v>46076.0</v>
      </c>
      <c r="E485" s="2">
        <v>46080.0</v>
      </c>
      <c r="F485" s="1">
        <v>10133.0</v>
      </c>
    </row>
    <row r="486">
      <c r="A486" s="1" t="s">
        <v>510</v>
      </c>
      <c r="B486" s="1" t="s">
        <v>13</v>
      </c>
      <c r="C486" s="1" t="s">
        <v>16</v>
      </c>
      <c r="D486" s="2">
        <v>46080.0</v>
      </c>
      <c r="E486" s="2">
        <v>46082.0</v>
      </c>
      <c r="F486" s="1">
        <v>11671.0</v>
      </c>
    </row>
    <row r="487">
      <c r="A487" s="1" t="s">
        <v>511</v>
      </c>
      <c r="B487" s="1" t="s">
        <v>13</v>
      </c>
      <c r="C487" s="1" t="s">
        <v>11</v>
      </c>
      <c r="D487" s="2">
        <v>46035.0</v>
      </c>
      <c r="E487" s="2">
        <v>46043.0</v>
      </c>
      <c r="F487" s="1">
        <v>10489.0</v>
      </c>
    </row>
    <row r="488">
      <c r="A488" s="1" t="s">
        <v>512</v>
      </c>
      <c r="B488" s="1" t="s">
        <v>13</v>
      </c>
      <c r="C488" s="1" t="s">
        <v>16</v>
      </c>
      <c r="D488" s="2">
        <v>46057.0</v>
      </c>
      <c r="E488" s="2">
        <v>46059.0</v>
      </c>
      <c r="F488" s="1">
        <v>1894.0</v>
      </c>
    </row>
    <row r="489">
      <c r="A489" s="1" t="s">
        <v>513</v>
      </c>
      <c r="B489" s="1" t="s">
        <v>13</v>
      </c>
      <c r="C489" s="1" t="s">
        <v>14</v>
      </c>
      <c r="D489" s="2">
        <v>46033.0</v>
      </c>
      <c r="E489" s="2">
        <v>46037.0</v>
      </c>
      <c r="F489" s="1">
        <v>9961.0</v>
      </c>
    </row>
    <row r="490">
      <c r="A490" s="1" t="s">
        <v>514</v>
      </c>
      <c r="B490" s="1" t="s">
        <v>19</v>
      </c>
      <c r="C490" s="1" t="s">
        <v>16</v>
      </c>
      <c r="D490" s="3">
        <v>46077.0</v>
      </c>
      <c r="E490" s="2">
        <v>46082.0</v>
      </c>
      <c r="F490" s="1">
        <v>5232.0</v>
      </c>
    </row>
    <row r="491">
      <c r="A491" s="1" t="s">
        <v>515</v>
      </c>
      <c r="B491" s="1" t="s">
        <v>13</v>
      </c>
      <c r="C491" s="1" t="s">
        <v>16</v>
      </c>
      <c r="D491" s="2">
        <v>46051.0</v>
      </c>
      <c r="E491" s="3">
        <v>46055.0</v>
      </c>
      <c r="F491" s="1">
        <v>4214.0</v>
      </c>
    </row>
    <row r="492">
      <c r="A492" s="1" t="s">
        <v>516</v>
      </c>
      <c r="B492" s="1" t="s">
        <v>13</v>
      </c>
      <c r="C492" s="1" t="s">
        <v>11</v>
      </c>
      <c r="D492" s="3">
        <v>46066.0</v>
      </c>
      <c r="E492" s="2">
        <v>46072.0</v>
      </c>
      <c r="F492" s="1">
        <v>1029.0</v>
      </c>
    </row>
    <row r="493">
      <c r="A493" s="1" t="s">
        <v>517</v>
      </c>
      <c r="B493" s="1" t="s">
        <v>10</v>
      </c>
      <c r="C493" s="1" t="s">
        <v>14</v>
      </c>
      <c r="D493" s="3">
        <v>46068.0</v>
      </c>
      <c r="E493" s="2">
        <v>46072.0</v>
      </c>
      <c r="F493" s="1">
        <v>3458.0</v>
      </c>
    </row>
    <row r="494">
      <c r="A494" s="1" t="s">
        <v>518</v>
      </c>
      <c r="B494" s="1" t="s">
        <v>19</v>
      </c>
      <c r="C494" s="1" t="s">
        <v>16</v>
      </c>
      <c r="D494" s="2">
        <v>46054.0</v>
      </c>
      <c r="E494" s="2">
        <v>46056.0</v>
      </c>
      <c r="F494" s="1">
        <v>8404.0</v>
      </c>
    </row>
    <row r="495">
      <c r="A495" s="1" t="s">
        <v>519</v>
      </c>
      <c r="B495" s="1" t="s">
        <v>19</v>
      </c>
      <c r="C495" s="1" t="s">
        <v>16</v>
      </c>
      <c r="D495" s="2">
        <v>46080.0</v>
      </c>
      <c r="E495" s="2">
        <v>46082.0</v>
      </c>
      <c r="F495" s="1">
        <v>11606.0</v>
      </c>
    </row>
    <row r="496">
      <c r="A496" s="1" t="s">
        <v>520</v>
      </c>
      <c r="B496" s="1" t="s">
        <v>10</v>
      </c>
      <c r="C496" s="1" t="s">
        <v>11</v>
      </c>
      <c r="D496" s="2">
        <v>46051.0</v>
      </c>
      <c r="E496" s="3">
        <v>46057.0</v>
      </c>
      <c r="F496" s="1">
        <v>4091.0</v>
      </c>
    </row>
    <row r="497">
      <c r="A497" s="1" t="s">
        <v>521</v>
      </c>
      <c r="B497" s="1" t="s">
        <v>10</v>
      </c>
      <c r="C497" s="1" t="s">
        <v>16</v>
      </c>
      <c r="D497" s="2">
        <v>46026.0</v>
      </c>
      <c r="E497" s="3">
        <v>46028.0</v>
      </c>
      <c r="F497" s="1">
        <v>10839.0</v>
      </c>
    </row>
    <row r="498">
      <c r="A498" s="1" t="s">
        <v>522</v>
      </c>
      <c r="B498" s="1" t="s">
        <v>13</v>
      </c>
      <c r="C498" s="1" t="s">
        <v>16</v>
      </c>
      <c r="D498" s="2">
        <v>46031.0</v>
      </c>
      <c r="E498" s="2">
        <v>46033.0</v>
      </c>
      <c r="F498" s="1">
        <v>7395.0</v>
      </c>
    </row>
    <row r="499">
      <c r="A499" s="1" t="s">
        <v>523</v>
      </c>
      <c r="B499" s="1" t="s">
        <v>19</v>
      </c>
      <c r="C499" s="1" t="s">
        <v>16</v>
      </c>
      <c r="D499" s="2">
        <v>46049.0</v>
      </c>
      <c r="E499" s="2">
        <v>46051.0</v>
      </c>
      <c r="F499" s="1">
        <v>9631.0</v>
      </c>
    </row>
    <row r="500">
      <c r="A500" s="1" t="s">
        <v>524</v>
      </c>
      <c r="B500" s="1" t="s">
        <v>13</v>
      </c>
      <c r="C500" s="1" t="s">
        <v>14</v>
      </c>
      <c r="D500" s="2">
        <v>46059.0</v>
      </c>
      <c r="E500" s="3">
        <v>46068.0</v>
      </c>
      <c r="F500" s="1">
        <v>1025.0</v>
      </c>
    </row>
    <row r="501">
      <c r="A501" s="1" t="s">
        <v>525</v>
      </c>
      <c r="B501" s="1" t="s">
        <v>10</v>
      </c>
      <c r="C501" s="1" t="s">
        <v>16</v>
      </c>
      <c r="D501" s="3">
        <v>46058.0</v>
      </c>
      <c r="E501" s="2">
        <v>46065.0</v>
      </c>
      <c r="F501" s="1">
        <v>6977.0</v>
      </c>
    </row>
    <row r="502">
      <c r="A502" s="1" t="s">
        <v>526</v>
      </c>
      <c r="B502" s="1" t="s">
        <v>13</v>
      </c>
      <c r="C502" s="1" t="s">
        <v>11</v>
      </c>
      <c r="D502" s="2">
        <v>46066.0</v>
      </c>
      <c r="E502" s="2">
        <v>46072.0</v>
      </c>
      <c r="F502" s="1">
        <v>501.0</v>
      </c>
    </row>
    <row r="503">
      <c r="A503" s="1" t="s">
        <v>527</v>
      </c>
      <c r="B503" s="1" t="s">
        <v>19</v>
      </c>
      <c r="C503" s="1" t="s">
        <v>14</v>
      </c>
      <c r="D503" s="2">
        <v>46042.0</v>
      </c>
      <c r="E503" s="3">
        <v>46046.0</v>
      </c>
      <c r="F503" s="1">
        <v>874.0</v>
      </c>
    </row>
    <row r="504">
      <c r="A504" s="1" t="s">
        <v>528</v>
      </c>
      <c r="B504" s="1" t="s">
        <v>13</v>
      </c>
      <c r="C504" s="1" t="s">
        <v>16</v>
      </c>
      <c r="D504" s="2">
        <v>46024.0</v>
      </c>
      <c r="E504" s="2">
        <v>46026.0</v>
      </c>
      <c r="F504" s="1">
        <v>11032.0</v>
      </c>
    </row>
    <row r="505">
      <c r="A505" s="1" t="s">
        <v>529</v>
      </c>
      <c r="B505" s="1" t="s">
        <v>19</v>
      </c>
      <c r="C505" s="1" t="s">
        <v>16</v>
      </c>
      <c r="D505" s="2">
        <v>46039.0</v>
      </c>
      <c r="E505" s="3">
        <v>46042.0</v>
      </c>
      <c r="F505" s="1">
        <v>11744.0</v>
      </c>
    </row>
    <row r="506">
      <c r="A506" s="1" t="s">
        <v>530</v>
      </c>
      <c r="B506" s="1" t="s">
        <v>13</v>
      </c>
      <c r="C506" s="1" t="s">
        <v>14</v>
      </c>
      <c r="D506" s="2">
        <v>46070.0</v>
      </c>
      <c r="E506" s="2">
        <v>46074.0</v>
      </c>
      <c r="F506" s="1">
        <v>5148.0</v>
      </c>
    </row>
    <row r="507">
      <c r="A507" s="1" t="s">
        <v>531</v>
      </c>
      <c r="B507" s="1" t="s">
        <v>13</v>
      </c>
      <c r="C507" s="1" t="s">
        <v>16</v>
      </c>
      <c r="D507" s="3">
        <v>46060.0</v>
      </c>
      <c r="E507" s="2">
        <v>46062.0</v>
      </c>
      <c r="F507" s="1">
        <v>2865.0</v>
      </c>
    </row>
    <row r="508">
      <c r="A508" s="1" t="s">
        <v>532</v>
      </c>
      <c r="B508" s="1" t="s">
        <v>19</v>
      </c>
      <c r="C508" s="1" t="s">
        <v>16</v>
      </c>
      <c r="D508" s="2">
        <v>46025.0</v>
      </c>
      <c r="E508" s="2">
        <v>46029.0</v>
      </c>
      <c r="F508" s="1">
        <v>2025.0</v>
      </c>
    </row>
    <row r="509">
      <c r="A509" s="1" t="s">
        <v>533</v>
      </c>
      <c r="B509" s="1" t="s">
        <v>19</v>
      </c>
      <c r="C509" s="1" t="s">
        <v>11</v>
      </c>
      <c r="D509" s="2">
        <v>46045.0</v>
      </c>
      <c r="E509" s="2">
        <v>46053.0</v>
      </c>
      <c r="F509" s="1">
        <v>2146.0</v>
      </c>
    </row>
    <row r="510">
      <c r="A510" s="1" t="s">
        <v>534</v>
      </c>
      <c r="B510" s="1" t="s">
        <v>19</v>
      </c>
      <c r="C510" s="1" t="s">
        <v>14</v>
      </c>
      <c r="D510" s="2">
        <v>46027.0</v>
      </c>
      <c r="E510" s="2">
        <v>46034.0</v>
      </c>
      <c r="F510" s="1">
        <v>513.0</v>
      </c>
    </row>
    <row r="511">
      <c r="A511" s="1" t="s">
        <v>535</v>
      </c>
      <c r="B511" s="1" t="s">
        <v>13</v>
      </c>
      <c r="C511" s="1" t="s">
        <v>11</v>
      </c>
      <c r="D511" s="2">
        <v>46026.0</v>
      </c>
      <c r="F511" s="1">
        <v>5099.0</v>
      </c>
    </row>
    <row r="512">
      <c r="A512" s="1" t="s">
        <v>536</v>
      </c>
      <c r="B512" s="1" t="s">
        <v>13</v>
      </c>
      <c r="C512" s="1" t="s">
        <v>16</v>
      </c>
      <c r="D512" s="3">
        <v>46082.0</v>
      </c>
      <c r="E512" s="2">
        <v>46084.0</v>
      </c>
      <c r="F512" s="1">
        <v>2778.0</v>
      </c>
    </row>
    <row r="513">
      <c r="A513" s="1" t="s">
        <v>537</v>
      </c>
      <c r="B513" s="1" t="s">
        <v>13</v>
      </c>
      <c r="C513" s="1" t="s">
        <v>11</v>
      </c>
      <c r="D513" s="2">
        <v>46025.0</v>
      </c>
      <c r="E513" s="3">
        <v>46031.0</v>
      </c>
      <c r="F513" s="1">
        <v>3655.0</v>
      </c>
    </row>
    <row r="514">
      <c r="A514" s="1" t="s">
        <v>538</v>
      </c>
      <c r="B514" s="1" t="s">
        <v>10</v>
      </c>
      <c r="C514" s="1" t="s">
        <v>16</v>
      </c>
      <c r="D514" s="2">
        <v>46049.0</v>
      </c>
      <c r="E514" s="2">
        <v>46054.0</v>
      </c>
      <c r="F514" s="1">
        <v>8821.0</v>
      </c>
    </row>
    <row r="515">
      <c r="A515" s="1" t="s">
        <v>539</v>
      </c>
      <c r="B515" s="1" t="s">
        <v>13</v>
      </c>
      <c r="C515" s="1" t="s">
        <v>14</v>
      </c>
      <c r="D515" s="2">
        <v>46072.0</v>
      </c>
      <c r="E515" s="2">
        <v>46078.0</v>
      </c>
      <c r="F515" s="1">
        <v>4314.0</v>
      </c>
    </row>
    <row r="516">
      <c r="A516" s="1" t="s">
        <v>540</v>
      </c>
      <c r="B516" s="1" t="s">
        <v>19</v>
      </c>
      <c r="C516" s="1" t="s">
        <v>14</v>
      </c>
      <c r="D516" s="2">
        <v>46072.0</v>
      </c>
      <c r="E516" s="2">
        <v>46076.0</v>
      </c>
      <c r="F516" s="1">
        <v>3716.0</v>
      </c>
    </row>
    <row r="517">
      <c r="A517" s="1" t="s">
        <v>541</v>
      </c>
      <c r="B517" s="1" t="s">
        <v>19</v>
      </c>
      <c r="C517" s="1" t="s">
        <v>14</v>
      </c>
      <c r="D517" s="2">
        <v>46069.0</v>
      </c>
      <c r="E517" s="2">
        <v>46073.0</v>
      </c>
      <c r="F517" s="1">
        <v>11630.0</v>
      </c>
    </row>
    <row r="518">
      <c r="A518" s="1" t="s">
        <v>542</v>
      </c>
      <c r="B518" s="1" t="s">
        <v>19</v>
      </c>
      <c r="C518" s="1" t="s">
        <v>11</v>
      </c>
      <c r="D518" s="3">
        <v>46049.0</v>
      </c>
      <c r="E518" s="2">
        <v>46055.0</v>
      </c>
      <c r="F518" s="1">
        <v>10732.0</v>
      </c>
    </row>
    <row r="519">
      <c r="A519" s="1" t="s">
        <v>543</v>
      </c>
      <c r="B519" s="1" t="s">
        <v>13</v>
      </c>
      <c r="C519" s="1" t="s">
        <v>11</v>
      </c>
      <c r="D519" s="2">
        <v>46080.0</v>
      </c>
      <c r="E519" s="2">
        <v>46087.0</v>
      </c>
      <c r="F519" s="1">
        <v>8719.0</v>
      </c>
    </row>
    <row r="520">
      <c r="A520" s="1" t="s">
        <v>544</v>
      </c>
      <c r="B520" s="1" t="s">
        <v>19</v>
      </c>
      <c r="C520" s="1" t="s">
        <v>16</v>
      </c>
      <c r="D520" s="2">
        <v>46051.0</v>
      </c>
      <c r="E520" s="2">
        <v>46058.0</v>
      </c>
      <c r="F520" s="1">
        <v>2613.0</v>
      </c>
    </row>
    <row r="521">
      <c r="A521" s="1" t="s">
        <v>545</v>
      </c>
      <c r="B521" s="1" t="s">
        <v>19</v>
      </c>
      <c r="C521" s="1" t="s">
        <v>14</v>
      </c>
      <c r="D521" s="2">
        <v>46047.0</v>
      </c>
      <c r="E521" s="2">
        <v>46051.0</v>
      </c>
      <c r="F521" s="1">
        <v>9944.0</v>
      </c>
    </row>
    <row r="522">
      <c r="A522" s="1" t="s">
        <v>546</v>
      </c>
      <c r="B522" s="1" t="s">
        <v>10</v>
      </c>
      <c r="C522" s="1" t="s">
        <v>11</v>
      </c>
      <c r="D522" s="3">
        <v>46066.0</v>
      </c>
      <c r="E522" s="2">
        <v>46072.0</v>
      </c>
      <c r="F522" s="1">
        <v>4856.0</v>
      </c>
    </row>
    <row r="523">
      <c r="A523" s="1" t="s">
        <v>547</v>
      </c>
      <c r="B523" s="1" t="s">
        <v>10</v>
      </c>
      <c r="C523" s="1" t="s">
        <v>16</v>
      </c>
      <c r="D523" s="2">
        <v>46078.0</v>
      </c>
      <c r="E523" s="3">
        <v>46080.0</v>
      </c>
      <c r="F523" s="1">
        <v>10738.0</v>
      </c>
    </row>
    <row r="524">
      <c r="A524" s="1" t="s">
        <v>548</v>
      </c>
      <c r="B524" s="1" t="s">
        <v>19</v>
      </c>
      <c r="C524" s="1" t="s">
        <v>11</v>
      </c>
      <c r="D524" s="2">
        <v>46031.0</v>
      </c>
      <c r="E524" s="3">
        <v>46040.0</v>
      </c>
      <c r="F524" s="1">
        <v>6043.0</v>
      </c>
    </row>
    <row r="525">
      <c r="A525" s="1" t="s">
        <v>549</v>
      </c>
      <c r="B525" s="1" t="s">
        <v>10</v>
      </c>
      <c r="C525" s="1" t="s">
        <v>16</v>
      </c>
      <c r="D525" s="2">
        <v>46078.0</v>
      </c>
      <c r="E525" s="2">
        <v>46082.0</v>
      </c>
      <c r="F525" s="1">
        <v>5055.0</v>
      </c>
    </row>
    <row r="526">
      <c r="A526" s="1" t="s">
        <v>550</v>
      </c>
      <c r="B526" s="1" t="s">
        <v>10</v>
      </c>
      <c r="C526" s="1" t="s">
        <v>11</v>
      </c>
      <c r="D526" s="2">
        <v>46030.0</v>
      </c>
      <c r="E526" s="2">
        <v>46038.0</v>
      </c>
      <c r="F526" s="1">
        <v>7562.0</v>
      </c>
    </row>
    <row r="527">
      <c r="A527" s="1" t="s">
        <v>551</v>
      </c>
      <c r="B527" s="1" t="s">
        <v>19</v>
      </c>
      <c r="C527" s="1" t="s">
        <v>11</v>
      </c>
      <c r="D527" s="3">
        <v>46057.0</v>
      </c>
      <c r="E527" s="2">
        <v>46063.0</v>
      </c>
      <c r="F527" s="1">
        <v>3874.0</v>
      </c>
    </row>
    <row r="528">
      <c r="A528" s="1" t="s">
        <v>552</v>
      </c>
      <c r="B528" s="1" t="s">
        <v>13</v>
      </c>
      <c r="C528" s="1" t="s">
        <v>11</v>
      </c>
      <c r="D528" s="2">
        <v>46056.0</v>
      </c>
      <c r="E528" s="2">
        <v>46062.0</v>
      </c>
      <c r="F528" s="1">
        <v>6930.0</v>
      </c>
    </row>
    <row r="529">
      <c r="A529" s="1" t="s">
        <v>553</v>
      </c>
      <c r="B529" s="1" t="s">
        <v>13</v>
      </c>
      <c r="C529" s="1" t="s">
        <v>14</v>
      </c>
      <c r="D529" s="2">
        <v>46069.0</v>
      </c>
      <c r="E529" s="2">
        <v>46073.0</v>
      </c>
      <c r="F529" s="1">
        <v>3966.0</v>
      </c>
    </row>
    <row r="530">
      <c r="A530" s="1" t="s">
        <v>554</v>
      </c>
      <c r="B530" s="1" t="s">
        <v>19</v>
      </c>
      <c r="C530" s="1" t="s">
        <v>14</v>
      </c>
      <c r="D530" s="2">
        <v>46076.0</v>
      </c>
      <c r="E530" s="2">
        <v>46080.0</v>
      </c>
      <c r="F530" s="1">
        <v>3581.0</v>
      </c>
    </row>
    <row r="531">
      <c r="A531" s="1" t="s">
        <v>555</v>
      </c>
      <c r="B531" s="1" t="s">
        <v>13</v>
      </c>
      <c r="C531" s="1" t="s">
        <v>11</v>
      </c>
      <c r="D531" s="2">
        <v>46071.0</v>
      </c>
      <c r="E531" s="2">
        <v>46079.0</v>
      </c>
      <c r="F531" s="1">
        <v>1129.0</v>
      </c>
    </row>
    <row r="532">
      <c r="A532" s="1" t="s">
        <v>556</v>
      </c>
      <c r="B532" s="1" t="s">
        <v>10</v>
      </c>
      <c r="C532" s="1" t="s">
        <v>16</v>
      </c>
      <c r="D532" s="2">
        <v>46042.0</v>
      </c>
      <c r="E532" s="2">
        <v>46045.0</v>
      </c>
      <c r="F532" s="1">
        <v>769.0</v>
      </c>
    </row>
    <row r="533">
      <c r="A533" s="1" t="s">
        <v>557</v>
      </c>
      <c r="B533" s="1" t="s">
        <v>19</v>
      </c>
      <c r="C533" s="1" t="s">
        <v>16</v>
      </c>
      <c r="D533" s="2">
        <v>46066.0</v>
      </c>
      <c r="E533" s="2">
        <v>46073.0</v>
      </c>
      <c r="F533" s="1">
        <v>11331.0</v>
      </c>
    </row>
    <row r="534">
      <c r="A534" s="1" t="s">
        <v>558</v>
      </c>
      <c r="B534" s="1" t="s">
        <v>13</v>
      </c>
      <c r="C534" s="1" t="s">
        <v>14</v>
      </c>
      <c r="D534" s="2">
        <v>46057.0</v>
      </c>
      <c r="E534" s="2">
        <v>46066.0</v>
      </c>
      <c r="F534" s="1">
        <v>10685.0</v>
      </c>
    </row>
    <row r="535">
      <c r="A535" s="1" t="s">
        <v>559</v>
      </c>
      <c r="B535" s="1" t="s">
        <v>13</v>
      </c>
      <c r="C535" s="1" t="s">
        <v>14</v>
      </c>
      <c r="D535" s="2">
        <v>46057.0</v>
      </c>
      <c r="E535" s="3">
        <v>46061.0</v>
      </c>
      <c r="F535" s="1">
        <v>6224.0</v>
      </c>
    </row>
    <row r="536">
      <c r="A536" s="1" t="s">
        <v>560</v>
      </c>
      <c r="B536" s="1" t="s">
        <v>10</v>
      </c>
      <c r="C536" s="1" t="s">
        <v>14</v>
      </c>
      <c r="D536" s="3">
        <v>46075.0</v>
      </c>
      <c r="E536" s="3">
        <v>46080.0</v>
      </c>
      <c r="F536" s="1">
        <v>6397.0</v>
      </c>
    </row>
    <row r="537">
      <c r="A537" s="1" t="s">
        <v>561</v>
      </c>
      <c r="B537" s="1" t="s">
        <v>19</v>
      </c>
      <c r="C537" s="1" t="s">
        <v>11</v>
      </c>
      <c r="D537" s="2">
        <v>46038.0</v>
      </c>
      <c r="F537" s="1">
        <v>11583.0</v>
      </c>
    </row>
    <row r="538">
      <c r="A538" s="1" t="s">
        <v>562</v>
      </c>
      <c r="B538" s="1" t="s">
        <v>19</v>
      </c>
      <c r="C538" s="1" t="s">
        <v>16</v>
      </c>
      <c r="D538" s="2">
        <v>46045.0</v>
      </c>
      <c r="F538" s="1">
        <v>3932.0</v>
      </c>
    </row>
    <row r="539">
      <c r="A539" s="1" t="s">
        <v>563</v>
      </c>
      <c r="B539" s="1" t="s">
        <v>10</v>
      </c>
      <c r="C539" s="1" t="s">
        <v>14</v>
      </c>
      <c r="D539" s="2">
        <v>46040.0</v>
      </c>
      <c r="E539" s="2">
        <v>46044.0</v>
      </c>
      <c r="F539" s="1">
        <v>9972.0</v>
      </c>
    </row>
    <row r="540">
      <c r="A540" s="1" t="s">
        <v>564</v>
      </c>
      <c r="B540" s="1" t="s">
        <v>19</v>
      </c>
      <c r="C540" s="1" t="s">
        <v>11</v>
      </c>
      <c r="D540" s="2">
        <v>46082.0</v>
      </c>
      <c r="E540" s="2">
        <v>46088.0</v>
      </c>
      <c r="F540" s="1">
        <v>6776.0</v>
      </c>
    </row>
    <row r="541">
      <c r="A541" s="1" t="s">
        <v>565</v>
      </c>
      <c r="B541" s="1" t="s">
        <v>19</v>
      </c>
      <c r="C541" s="1" t="s">
        <v>14</v>
      </c>
      <c r="D541" s="2">
        <v>46071.0</v>
      </c>
      <c r="E541" s="2">
        <v>46075.0</v>
      </c>
      <c r="F541" s="1">
        <v>6395.0</v>
      </c>
    </row>
    <row r="542">
      <c r="A542" s="1" t="s">
        <v>566</v>
      </c>
      <c r="B542" s="1" t="s">
        <v>10</v>
      </c>
      <c r="C542" s="1" t="s">
        <v>16</v>
      </c>
      <c r="D542" s="2">
        <v>46025.0</v>
      </c>
      <c r="E542" s="2">
        <v>46030.0</v>
      </c>
      <c r="F542" s="1">
        <v>7615.0</v>
      </c>
    </row>
    <row r="543">
      <c r="A543" s="1" t="s">
        <v>567</v>
      </c>
      <c r="B543" s="1" t="s">
        <v>10</v>
      </c>
      <c r="C543" s="1" t="s">
        <v>16</v>
      </c>
      <c r="D543" s="2">
        <v>46065.0</v>
      </c>
      <c r="E543" s="2">
        <v>46067.0</v>
      </c>
      <c r="F543" s="1">
        <v>7156.0</v>
      </c>
    </row>
    <row r="544">
      <c r="A544" s="1" t="s">
        <v>568</v>
      </c>
      <c r="B544" s="1" t="s">
        <v>13</v>
      </c>
      <c r="C544" s="1" t="s">
        <v>14</v>
      </c>
      <c r="D544" s="2">
        <v>46062.0</v>
      </c>
      <c r="E544" s="2">
        <v>46066.0</v>
      </c>
      <c r="F544" s="1">
        <v>11052.0</v>
      </c>
    </row>
    <row r="545">
      <c r="A545" s="1" t="s">
        <v>569</v>
      </c>
      <c r="B545" s="1" t="s">
        <v>19</v>
      </c>
      <c r="C545" s="1" t="s">
        <v>11</v>
      </c>
      <c r="D545" s="2">
        <v>46082.0</v>
      </c>
      <c r="E545" s="2">
        <v>46088.0</v>
      </c>
      <c r="F545" s="1">
        <v>1075.0</v>
      </c>
    </row>
    <row r="546">
      <c r="A546" s="1" t="s">
        <v>570</v>
      </c>
      <c r="B546" s="1" t="s">
        <v>10</v>
      </c>
      <c r="C546" s="1" t="s">
        <v>16</v>
      </c>
      <c r="D546" s="3">
        <v>46038.0</v>
      </c>
      <c r="E546" s="2">
        <v>46040.0</v>
      </c>
      <c r="F546" s="1">
        <v>7529.0</v>
      </c>
    </row>
    <row r="547">
      <c r="A547" s="1" t="s">
        <v>571</v>
      </c>
      <c r="B547" s="1" t="s">
        <v>13</v>
      </c>
      <c r="C547" s="1" t="s">
        <v>16</v>
      </c>
      <c r="D547" s="2">
        <v>46027.0</v>
      </c>
      <c r="E547" s="2">
        <v>46029.0</v>
      </c>
      <c r="F547" s="1">
        <v>6599.0</v>
      </c>
    </row>
    <row r="548">
      <c r="A548" s="1" t="s">
        <v>572</v>
      </c>
      <c r="B548" s="1" t="s">
        <v>19</v>
      </c>
      <c r="C548" s="1" t="s">
        <v>16</v>
      </c>
      <c r="D548" s="2">
        <v>46061.0</v>
      </c>
      <c r="E548" s="2">
        <v>46063.0</v>
      </c>
      <c r="F548" s="1">
        <v>9999.0</v>
      </c>
    </row>
    <row r="549">
      <c r="A549" s="1" t="s">
        <v>573</v>
      </c>
      <c r="B549" s="1" t="s">
        <v>13</v>
      </c>
      <c r="C549" s="1" t="s">
        <v>14</v>
      </c>
      <c r="D549" s="3">
        <v>46051.0</v>
      </c>
      <c r="E549" s="2">
        <v>46055.0</v>
      </c>
      <c r="F549" s="1">
        <v>3692.0</v>
      </c>
    </row>
    <row r="550">
      <c r="A550" s="1" t="s">
        <v>574</v>
      </c>
      <c r="B550" s="1" t="s">
        <v>10</v>
      </c>
      <c r="C550" s="1" t="s">
        <v>11</v>
      </c>
      <c r="D550" s="2">
        <v>46066.0</v>
      </c>
      <c r="E550" s="2">
        <v>46072.0</v>
      </c>
      <c r="F550" s="1">
        <v>3678.0</v>
      </c>
    </row>
    <row r="551">
      <c r="A551" s="1" t="s">
        <v>575</v>
      </c>
      <c r="B551" s="1" t="s">
        <v>19</v>
      </c>
      <c r="C551" s="1" t="s">
        <v>11</v>
      </c>
      <c r="D551" s="2">
        <v>46078.0</v>
      </c>
      <c r="E551" s="2">
        <v>46085.0</v>
      </c>
      <c r="F551" s="1">
        <v>6552.0</v>
      </c>
    </row>
    <row r="552">
      <c r="A552" s="1" t="s">
        <v>576</v>
      </c>
      <c r="B552" s="1" t="s">
        <v>13</v>
      </c>
      <c r="C552" s="1" t="s">
        <v>11</v>
      </c>
      <c r="D552" s="2">
        <v>46038.0</v>
      </c>
      <c r="E552" s="2">
        <v>46044.0</v>
      </c>
      <c r="F552" s="1">
        <v>3234.0</v>
      </c>
    </row>
    <row r="553">
      <c r="A553" s="1" t="s">
        <v>577</v>
      </c>
      <c r="B553" s="1" t="s">
        <v>10</v>
      </c>
      <c r="C553" s="1" t="s">
        <v>11</v>
      </c>
      <c r="D553" s="2">
        <v>46025.0</v>
      </c>
      <c r="F553" s="1">
        <v>6616.0</v>
      </c>
    </row>
    <row r="554">
      <c r="A554" s="1" t="s">
        <v>578</v>
      </c>
      <c r="B554" s="1" t="s">
        <v>10</v>
      </c>
      <c r="C554" s="1" t="s">
        <v>11</v>
      </c>
      <c r="D554" s="2">
        <v>46051.0</v>
      </c>
      <c r="E554" s="2">
        <v>46057.0</v>
      </c>
      <c r="F554" s="1">
        <v>10904.0</v>
      </c>
    </row>
    <row r="555">
      <c r="A555" s="1" t="s">
        <v>579</v>
      </c>
      <c r="B555" s="1" t="s">
        <v>10</v>
      </c>
      <c r="C555" s="1" t="s">
        <v>14</v>
      </c>
      <c r="D555" s="3">
        <v>46057.0</v>
      </c>
      <c r="E555" s="2">
        <v>46061.0</v>
      </c>
      <c r="F555" s="1">
        <v>11044.0</v>
      </c>
    </row>
    <row r="556">
      <c r="A556" s="1" t="s">
        <v>580</v>
      </c>
      <c r="B556" s="1" t="s">
        <v>10</v>
      </c>
      <c r="C556" s="1" t="s">
        <v>14</v>
      </c>
      <c r="D556" s="2">
        <v>46071.0</v>
      </c>
      <c r="E556" s="2">
        <v>46077.0</v>
      </c>
      <c r="F556" s="1">
        <v>4068.0</v>
      </c>
    </row>
    <row r="557">
      <c r="A557" s="1" t="s">
        <v>581</v>
      </c>
      <c r="B557" s="1" t="s">
        <v>10</v>
      </c>
      <c r="C557" s="1" t="s">
        <v>11</v>
      </c>
      <c r="D557" s="2">
        <v>46026.0</v>
      </c>
      <c r="E557" s="2">
        <v>46032.0</v>
      </c>
      <c r="F557" s="1">
        <v>10347.0</v>
      </c>
    </row>
    <row r="558">
      <c r="A558" s="1" t="s">
        <v>582</v>
      </c>
      <c r="B558" s="1" t="s">
        <v>10</v>
      </c>
      <c r="C558" s="1" t="s">
        <v>11</v>
      </c>
      <c r="D558" s="2">
        <v>46055.0</v>
      </c>
      <c r="E558" s="2">
        <v>46061.0</v>
      </c>
      <c r="F558" s="1">
        <v>10271.0</v>
      </c>
    </row>
    <row r="559">
      <c r="A559" s="1" t="s">
        <v>583</v>
      </c>
      <c r="B559" s="1" t="s">
        <v>10</v>
      </c>
      <c r="C559" s="1" t="s">
        <v>14</v>
      </c>
      <c r="D559" s="2">
        <v>46037.0</v>
      </c>
      <c r="E559" s="2">
        <v>46041.0</v>
      </c>
      <c r="F559" s="1">
        <v>2703.0</v>
      </c>
    </row>
    <row r="560">
      <c r="A560" s="1" t="s">
        <v>584</v>
      </c>
      <c r="B560" s="1" t="s">
        <v>13</v>
      </c>
      <c r="C560" s="1" t="s">
        <v>14</v>
      </c>
      <c r="D560" s="2">
        <v>46059.0</v>
      </c>
      <c r="E560" s="2">
        <v>46064.0</v>
      </c>
      <c r="F560" s="1">
        <v>1890.0</v>
      </c>
    </row>
    <row r="561">
      <c r="A561" s="1" t="s">
        <v>585</v>
      </c>
      <c r="B561" s="1" t="s">
        <v>19</v>
      </c>
      <c r="C561" s="1" t="s">
        <v>11</v>
      </c>
      <c r="D561" s="2">
        <v>46059.0</v>
      </c>
      <c r="E561" s="2">
        <v>46065.0</v>
      </c>
      <c r="F561" s="1">
        <v>2242.0</v>
      </c>
    </row>
    <row r="562">
      <c r="A562" s="1" t="s">
        <v>586</v>
      </c>
      <c r="B562" s="1" t="s">
        <v>19</v>
      </c>
      <c r="C562" s="1" t="s">
        <v>11</v>
      </c>
      <c r="D562" s="2">
        <v>46072.0</v>
      </c>
      <c r="E562" s="2">
        <v>46079.0</v>
      </c>
      <c r="F562" s="1">
        <v>2425.0</v>
      </c>
    </row>
    <row r="563">
      <c r="A563" s="1" t="s">
        <v>587</v>
      </c>
      <c r="B563" s="1" t="s">
        <v>13</v>
      </c>
      <c r="C563" s="1" t="s">
        <v>14</v>
      </c>
      <c r="D563" s="2">
        <v>46075.0</v>
      </c>
      <c r="E563" s="2">
        <v>46079.0</v>
      </c>
      <c r="F563" s="1">
        <v>1119.0</v>
      </c>
    </row>
    <row r="564">
      <c r="A564" s="1" t="s">
        <v>588</v>
      </c>
      <c r="B564" s="1" t="s">
        <v>10</v>
      </c>
      <c r="C564" s="1" t="s">
        <v>16</v>
      </c>
      <c r="D564" s="2">
        <v>46038.0</v>
      </c>
      <c r="E564" s="2">
        <v>46040.0</v>
      </c>
      <c r="F564" s="1">
        <v>1774.0</v>
      </c>
    </row>
    <row r="565">
      <c r="A565" s="1" t="s">
        <v>589</v>
      </c>
      <c r="B565" s="1" t="s">
        <v>19</v>
      </c>
      <c r="C565" s="1" t="s">
        <v>11</v>
      </c>
      <c r="D565" s="3">
        <v>46079.0</v>
      </c>
      <c r="E565" s="2">
        <v>46085.0</v>
      </c>
      <c r="F565" s="1">
        <v>1456.0</v>
      </c>
    </row>
    <row r="566">
      <c r="A566" s="1" t="s">
        <v>590</v>
      </c>
      <c r="B566" s="1" t="s">
        <v>10</v>
      </c>
      <c r="C566" s="1" t="s">
        <v>16</v>
      </c>
      <c r="D566" s="2">
        <v>46065.0</v>
      </c>
      <c r="F566" s="1">
        <v>2439.0</v>
      </c>
    </row>
    <row r="567">
      <c r="A567" s="1" t="s">
        <v>591</v>
      </c>
      <c r="B567" s="1" t="s">
        <v>19</v>
      </c>
      <c r="C567" s="1" t="s">
        <v>11</v>
      </c>
      <c r="D567" s="2">
        <v>46037.0</v>
      </c>
      <c r="E567" s="2">
        <v>46043.0</v>
      </c>
      <c r="F567" s="1">
        <v>4453.0</v>
      </c>
    </row>
    <row r="568">
      <c r="A568" s="1" t="s">
        <v>592</v>
      </c>
      <c r="B568" s="1" t="s">
        <v>10</v>
      </c>
      <c r="C568" s="1" t="s">
        <v>11</v>
      </c>
      <c r="D568" s="3">
        <v>46042.0</v>
      </c>
      <c r="E568" s="2">
        <v>46048.0</v>
      </c>
      <c r="F568" s="1">
        <v>11073.0</v>
      </c>
    </row>
    <row r="569">
      <c r="A569" s="1" t="s">
        <v>593</v>
      </c>
      <c r="B569" s="1" t="s">
        <v>13</v>
      </c>
      <c r="C569" s="1" t="s">
        <v>11</v>
      </c>
      <c r="D569" s="2">
        <v>46026.0</v>
      </c>
      <c r="E569" s="2">
        <v>46032.0</v>
      </c>
      <c r="F569" s="1">
        <v>1468.0</v>
      </c>
    </row>
    <row r="570">
      <c r="A570" s="1" t="s">
        <v>594</v>
      </c>
      <c r="B570" s="1" t="s">
        <v>10</v>
      </c>
      <c r="C570" s="1" t="s">
        <v>11</v>
      </c>
      <c r="D570" s="2">
        <v>46083.0</v>
      </c>
      <c r="E570" s="2">
        <v>46091.0</v>
      </c>
      <c r="F570" s="1">
        <v>10008.0</v>
      </c>
    </row>
    <row r="571">
      <c r="A571" s="1" t="s">
        <v>595</v>
      </c>
      <c r="B571" s="1" t="s">
        <v>19</v>
      </c>
      <c r="C571" s="1" t="s">
        <v>16</v>
      </c>
      <c r="D571" s="2">
        <v>46079.0</v>
      </c>
      <c r="E571" s="2">
        <v>46081.0</v>
      </c>
      <c r="F571" s="1">
        <v>9735.0</v>
      </c>
    </row>
    <row r="572">
      <c r="A572" s="1" t="s">
        <v>596</v>
      </c>
      <c r="B572" s="1" t="s">
        <v>10</v>
      </c>
      <c r="C572" s="1" t="s">
        <v>14</v>
      </c>
      <c r="D572" s="2">
        <v>46081.0</v>
      </c>
      <c r="E572" s="2">
        <v>46085.0</v>
      </c>
      <c r="F572" s="1">
        <v>781.0</v>
      </c>
    </row>
    <row r="573">
      <c r="A573" s="1" t="s">
        <v>597</v>
      </c>
      <c r="B573" s="1" t="s">
        <v>19</v>
      </c>
      <c r="C573" s="1" t="s">
        <v>14</v>
      </c>
      <c r="D573" s="2">
        <v>46063.0</v>
      </c>
      <c r="E573" s="2">
        <v>46068.0</v>
      </c>
      <c r="F573" s="1">
        <v>11536.0</v>
      </c>
    </row>
    <row r="574">
      <c r="A574" s="1" t="s">
        <v>598</v>
      </c>
      <c r="B574" s="1" t="s">
        <v>10</v>
      </c>
      <c r="C574" s="1" t="s">
        <v>16</v>
      </c>
      <c r="D574" s="2">
        <v>46050.0</v>
      </c>
      <c r="E574" s="3">
        <v>46052.0</v>
      </c>
      <c r="F574" s="1">
        <v>6762.0</v>
      </c>
    </row>
    <row r="575">
      <c r="A575" s="1" t="s">
        <v>599</v>
      </c>
      <c r="B575" s="1" t="s">
        <v>19</v>
      </c>
      <c r="C575" s="1" t="s">
        <v>14</v>
      </c>
      <c r="D575" s="2">
        <v>46054.0</v>
      </c>
      <c r="E575" s="3">
        <v>46058.0</v>
      </c>
      <c r="F575" s="1">
        <v>1558.0</v>
      </c>
    </row>
    <row r="576">
      <c r="A576" s="1" t="s">
        <v>600</v>
      </c>
      <c r="B576" s="1" t="s">
        <v>19</v>
      </c>
      <c r="C576" s="1" t="s">
        <v>14</v>
      </c>
      <c r="D576" s="2">
        <v>46045.0</v>
      </c>
      <c r="E576" s="3">
        <v>46051.0</v>
      </c>
      <c r="F576" s="1">
        <v>4793.0</v>
      </c>
    </row>
    <row r="577">
      <c r="A577" s="1" t="s">
        <v>601</v>
      </c>
      <c r="B577" s="1" t="s">
        <v>19</v>
      </c>
      <c r="C577" s="1" t="s">
        <v>14</v>
      </c>
      <c r="D577" s="2">
        <v>46065.0</v>
      </c>
      <c r="E577" s="2">
        <v>46072.0</v>
      </c>
      <c r="F577" s="1">
        <v>11224.0</v>
      </c>
    </row>
    <row r="578">
      <c r="A578" s="1" t="s">
        <v>602</v>
      </c>
      <c r="B578" s="1" t="s">
        <v>10</v>
      </c>
      <c r="C578" s="1" t="s">
        <v>14</v>
      </c>
      <c r="D578" s="2">
        <v>46073.0</v>
      </c>
      <c r="E578" s="2">
        <v>46077.0</v>
      </c>
      <c r="F578" s="1">
        <v>5678.0</v>
      </c>
    </row>
    <row r="579">
      <c r="A579" s="1" t="s">
        <v>603</v>
      </c>
      <c r="B579" s="1" t="s">
        <v>19</v>
      </c>
      <c r="C579" s="1" t="s">
        <v>14</v>
      </c>
      <c r="D579" s="2">
        <v>46043.0</v>
      </c>
      <c r="E579" s="3">
        <v>46050.0</v>
      </c>
      <c r="F579" s="1">
        <v>7480.0</v>
      </c>
    </row>
    <row r="580">
      <c r="A580" s="1" t="s">
        <v>604</v>
      </c>
      <c r="B580" s="1" t="s">
        <v>10</v>
      </c>
      <c r="C580" s="1" t="s">
        <v>11</v>
      </c>
      <c r="D580" s="2">
        <v>46049.0</v>
      </c>
      <c r="E580" s="2">
        <v>46055.0</v>
      </c>
      <c r="F580" s="1">
        <v>9700.0</v>
      </c>
    </row>
    <row r="581">
      <c r="A581" s="1" t="s">
        <v>605</v>
      </c>
      <c r="B581" s="1" t="s">
        <v>13</v>
      </c>
      <c r="C581" s="1" t="s">
        <v>16</v>
      </c>
      <c r="D581" s="2">
        <v>46032.0</v>
      </c>
      <c r="E581" s="3">
        <v>46034.0</v>
      </c>
      <c r="F581" s="1">
        <v>1729.0</v>
      </c>
    </row>
    <row r="582">
      <c r="A582" s="1" t="s">
        <v>606</v>
      </c>
      <c r="B582" s="1" t="s">
        <v>13</v>
      </c>
      <c r="C582" s="1" t="s">
        <v>14</v>
      </c>
      <c r="D582" s="3">
        <v>46047.0</v>
      </c>
      <c r="E582" s="3">
        <v>46051.0</v>
      </c>
      <c r="F582" s="1">
        <v>9727.0</v>
      </c>
    </row>
    <row r="583">
      <c r="A583" s="1" t="s">
        <v>607</v>
      </c>
      <c r="B583" s="1" t="s">
        <v>19</v>
      </c>
      <c r="C583" s="1" t="s">
        <v>14</v>
      </c>
      <c r="D583" s="2">
        <v>46071.0</v>
      </c>
      <c r="E583" s="2">
        <v>46080.0</v>
      </c>
      <c r="F583" s="1">
        <v>5085.0</v>
      </c>
    </row>
    <row r="584">
      <c r="A584" s="1" t="s">
        <v>608</v>
      </c>
      <c r="B584" s="1" t="s">
        <v>10</v>
      </c>
      <c r="C584" s="1" t="s">
        <v>14</v>
      </c>
      <c r="D584" s="2">
        <v>46053.0</v>
      </c>
      <c r="E584" s="2">
        <v>46057.0</v>
      </c>
      <c r="F584" s="1">
        <v>8967.0</v>
      </c>
    </row>
    <row r="585">
      <c r="A585" s="1" t="s">
        <v>609</v>
      </c>
      <c r="B585" s="1" t="s">
        <v>19</v>
      </c>
      <c r="C585" s="1" t="s">
        <v>11</v>
      </c>
      <c r="D585" s="2">
        <v>46077.0</v>
      </c>
      <c r="E585" s="2">
        <v>46083.0</v>
      </c>
      <c r="F585" s="1">
        <v>3240.0</v>
      </c>
    </row>
    <row r="586">
      <c r="A586" s="1" t="s">
        <v>610</v>
      </c>
      <c r="B586" s="1" t="s">
        <v>10</v>
      </c>
      <c r="C586" s="1" t="s">
        <v>14</v>
      </c>
      <c r="D586" s="2">
        <v>46042.0</v>
      </c>
      <c r="E586" s="2">
        <v>46046.0</v>
      </c>
      <c r="F586" s="1">
        <v>2789.0</v>
      </c>
    </row>
    <row r="587">
      <c r="A587" s="1" t="s">
        <v>611</v>
      </c>
      <c r="B587" s="1" t="s">
        <v>10</v>
      </c>
      <c r="C587" s="1" t="s">
        <v>14</v>
      </c>
      <c r="D587" s="2">
        <v>46032.0</v>
      </c>
      <c r="E587" s="2">
        <v>46036.0</v>
      </c>
      <c r="F587" s="1">
        <v>1739.0</v>
      </c>
    </row>
    <row r="588">
      <c r="A588" s="1" t="s">
        <v>612</v>
      </c>
      <c r="B588" s="1" t="s">
        <v>13</v>
      </c>
      <c r="C588" s="1" t="s">
        <v>16</v>
      </c>
      <c r="D588" s="2">
        <v>46052.0</v>
      </c>
      <c r="E588" s="2">
        <v>46054.0</v>
      </c>
      <c r="F588" s="1">
        <v>5870.0</v>
      </c>
    </row>
    <row r="589">
      <c r="A589" s="1" t="s">
        <v>613</v>
      </c>
      <c r="B589" s="1" t="s">
        <v>10</v>
      </c>
      <c r="C589" s="1" t="s">
        <v>11</v>
      </c>
      <c r="D589" s="2">
        <v>46058.0</v>
      </c>
      <c r="E589" s="2">
        <v>46064.0</v>
      </c>
      <c r="F589" s="1">
        <v>625.0</v>
      </c>
    </row>
    <row r="590">
      <c r="A590" s="1" t="s">
        <v>614</v>
      </c>
      <c r="B590" s="1" t="s">
        <v>10</v>
      </c>
      <c r="C590" s="1" t="s">
        <v>14</v>
      </c>
      <c r="D590" s="3">
        <v>46049.0</v>
      </c>
      <c r="E590" s="2">
        <v>46053.0</v>
      </c>
      <c r="F590" s="1">
        <v>7973.0</v>
      </c>
    </row>
    <row r="591">
      <c r="A591" s="1" t="s">
        <v>615</v>
      </c>
      <c r="B591" s="1" t="s">
        <v>19</v>
      </c>
      <c r="C591" s="1" t="s">
        <v>16</v>
      </c>
      <c r="D591" s="2">
        <v>46056.0</v>
      </c>
      <c r="E591" s="2">
        <v>46058.0</v>
      </c>
      <c r="F591" s="1">
        <v>9900.0</v>
      </c>
    </row>
    <row r="592">
      <c r="A592" s="1" t="s">
        <v>616</v>
      </c>
      <c r="B592" s="1" t="s">
        <v>19</v>
      </c>
      <c r="C592" s="1" t="s">
        <v>16</v>
      </c>
      <c r="D592" s="2">
        <v>46047.0</v>
      </c>
      <c r="E592" s="2">
        <v>46049.0</v>
      </c>
      <c r="F592" s="1">
        <v>5842.0</v>
      </c>
    </row>
    <row r="593">
      <c r="A593" s="1" t="s">
        <v>617</v>
      </c>
      <c r="B593" s="1" t="s">
        <v>10</v>
      </c>
      <c r="C593" s="1" t="s">
        <v>16</v>
      </c>
      <c r="D593" s="2">
        <v>46039.0</v>
      </c>
      <c r="E593" s="2">
        <v>46041.0</v>
      </c>
      <c r="F593" s="1">
        <v>7851.0</v>
      </c>
    </row>
    <row r="594">
      <c r="A594" s="1" t="s">
        <v>618</v>
      </c>
      <c r="B594" s="1" t="s">
        <v>13</v>
      </c>
      <c r="C594" s="1" t="s">
        <v>16</v>
      </c>
      <c r="D594" s="2">
        <v>46044.0</v>
      </c>
      <c r="E594" s="2">
        <v>46046.0</v>
      </c>
      <c r="F594" s="1">
        <v>7138.0</v>
      </c>
    </row>
    <row r="595">
      <c r="A595" s="1" t="s">
        <v>619</v>
      </c>
      <c r="B595" s="1" t="s">
        <v>19</v>
      </c>
      <c r="C595" s="1" t="s">
        <v>14</v>
      </c>
      <c r="D595" s="2">
        <v>46028.0</v>
      </c>
      <c r="E595" s="2">
        <v>46032.0</v>
      </c>
      <c r="F595" s="1">
        <v>7070.0</v>
      </c>
    </row>
    <row r="596">
      <c r="A596" s="1" t="s">
        <v>620</v>
      </c>
      <c r="B596" s="1" t="s">
        <v>19</v>
      </c>
      <c r="C596" s="1" t="s">
        <v>16</v>
      </c>
      <c r="D596" s="3">
        <v>46077.0</v>
      </c>
      <c r="E596" s="2">
        <v>46081.0</v>
      </c>
      <c r="F596" s="1">
        <v>3749.0</v>
      </c>
    </row>
    <row r="597">
      <c r="A597" s="1" t="s">
        <v>621</v>
      </c>
      <c r="B597" s="1" t="s">
        <v>13</v>
      </c>
      <c r="C597" s="1" t="s">
        <v>11</v>
      </c>
      <c r="D597" s="2">
        <v>46028.0</v>
      </c>
      <c r="E597" s="3">
        <v>46034.0</v>
      </c>
      <c r="F597" s="1">
        <v>9610.0</v>
      </c>
    </row>
    <row r="598">
      <c r="A598" s="1" t="s">
        <v>622</v>
      </c>
      <c r="B598" s="1" t="s">
        <v>19</v>
      </c>
      <c r="C598" s="1" t="s">
        <v>11</v>
      </c>
      <c r="D598" s="2">
        <v>46069.0</v>
      </c>
      <c r="E598" s="2">
        <v>46075.0</v>
      </c>
      <c r="F598" s="1">
        <v>8095.0</v>
      </c>
    </row>
    <row r="599">
      <c r="A599" s="1" t="s">
        <v>623</v>
      </c>
      <c r="B599" s="1" t="s">
        <v>10</v>
      </c>
      <c r="C599" s="1" t="s">
        <v>14</v>
      </c>
      <c r="D599" s="2">
        <v>46026.0</v>
      </c>
      <c r="E599" s="2">
        <v>46030.0</v>
      </c>
      <c r="F599" s="1">
        <v>6794.0</v>
      </c>
    </row>
    <row r="600">
      <c r="A600" s="1" t="s">
        <v>624</v>
      </c>
      <c r="B600" s="1" t="s">
        <v>10</v>
      </c>
      <c r="C600" s="1" t="s">
        <v>16</v>
      </c>
      <c r="D600" s="2">
        <v>46047.0</v>
      </c>
      <c r="E600" s="2">
        <v>46049.0</v>
      </c>
      <c r="F600" s="1">
        <v>7027.0</v>
      </c>
    </row>
    <row r="601">
      <c r="A601" s="1" t="s">
        <v>625</v>
      </c>
      <c r="B601" s="1" t="s">
        <v>10</v>
      </c>
      <c r="C601" s="1" t="s">
        <v>11</v>
      </c>
      <c r="D601" s="2">
        <v>46061.0</v>
      </c>
      <c r="E601" s="2">
        <v>46067.0</v>
      </c>
      <c r="F601" s="1">
        <v>6257.0</v>
      </c>
    </row>
    <row r="602">
      <c r="A602" s="1" t="s">
        <v>626</v>
      </c>
      <c r="B602" s="1" t="s">
        <v>19</v>
      </c>
      <c r="C602" s="1" t="s">
        <v>16</v>
      </c>
      <c r="D602" s="2">
        <v>46025.0</v>
      </c>
      <c r="E602" s="3">
        <v>46027.0</v>
      </c>
      <c r="F602" s="1">
        <v>2469.0</v>
      </c>
    </row>
    <row r="603">
      <c r="A603" s="1" t="s">
        <v>627</v>
      </c>
      <c r="B603" s="1" t="s">
        <v>19</v>
      </c>
      <c r="C603" s="1" t="s">
        <v>11</v>
      </c>
      <c r="D603" s="2">
        <v>46035.0</v>
      </c>
      <c r="E603" s="2">
        <v>46041.0</v>
      </c>
      <c r="F603" s="1">
        <v>11485.0</v>
      </c>
    </row>
    <row r="604">
      <c r="A604" s="1" t="s">
        <v>628</v>
      </c>
      <c r="B604" s="1" t="s">
        <v>19</v>
      </c>
      <c r="C604" s="1" t="s">
        <v>11</v>
      </c>
      <c r="D604" s="2">
        <v>46071.0</v>
      </c>
      <c r="E604" s="3">
        <v>46077.0</v>
      </c>
      <c r="F604" s="1">
        <v>1391.0</v>
      </c>
    </row>
    <row r="605">
      <c r="A605" s="1" t="s">
        <v>629</v>
      </c>
      <c r="B605" s="1" t="s">
        <v>19</v>
      </c>
      <c r="C605" s="1" t="s">
        <v>11</v>
      </c>
      <c r="D605" s="2">
        <v>46069.0</v>
      </c>
      <c r="E605" s="2">
        <v>46075.0</v>
      </c>
      <c r="F605" s="1">
        <v>4970.0</v>
      </c>
    </row>
    <row r="606">
      <c r="A606" s="1" t="s">
        <v>630</v>
      </c>
      <c r="B606" s="1" t="s">
        <v>10</v>
      </c>
      <c r="C606" s="1" t="s">
        <v>14</v>
      </c>
      <c r="D606" s="3">
        <v>46058.0</v>
      </c>
      <c r="E606" s="2">
        <v>46062.0</v>
      </c>
      <c r="F606" s="1">
        <v>7675.0</v>
      </c>
    </row>
    <row r="607">
      <c r="A607" s="1" t="s">
        <v>631</v>
      </c>
      <c r="B607" s="1" t="s">
        <v>13</v>
      </c>
      <c r="C607" s="1" t="s">
        <v>11</v>
      </c>
      <c r="D607" s="2">
        <v>46053.0</v>
      </c>
      <c r="E607" s="2">
        <v>46059.0</v>
      </c>
      <c r="F607" s="1">
        <v>10725.0</v>
      </c>
    </row>
    <row r="608">
      <c r="A608" s="1" t="s">
        <v>632</v>
      </c>
      <c r="B608" s="1" t="s">
        <v>10</v>
      </c>
      <c r="C608" s="1" t="s">
        <v>16</v>
      </c>
      <c r="D608" s="2">
        <v>46078.0</v>
      </c>
      <c r="E608" s="2">
        <v>46080.0</v>
      </c>
      <c r="F608" s="1">
        <v>10056.0</v>
      </c>
    </row>
    <row r="609">
      <c r="A609" s="1" t="s">
        <v>633</v>
      </c>
      <c r="B609" s="1" t="s">
        <v>19</v>
      </c>
      <c r="C609" s="1" t="s">
        <v>14</v>
      </c>
      <c r="D609" s="2">
        <v>46042.0</v>
      </c>
      <c r="E609" s="2">
        <v>46046.0</v>
      </c>
      <c r="F609" s="1">
        <v>8820.0</v>
      </c>
    </row>
    <row r="610">
      <c r="A610" s="1" t="s">
        <v>634</v>
      </c>
      <c r="B610" s="1" t="s">
        <v>10</v>
      </c>
      <c r="C610" s="1" t="s">
        <v>14</v>
      </c>
      <c r="D610" s="2">
        <v>46036.0</v>
      </c>
      <c r="E610" s="2">
        <v>46040.0</v>
      </c>
      <c r="F610" s="1">
        <v>9706.0</v>
      </c>
    </row>
    <row r="611">
      <c r="A611" s="1" t="s">
        <v>635</v>
      </c>
      <c r="B611" s="1" t="s">
        <v>13</v>
      </c>
      <c r="C611" s="1" t="s">
        <v>11</v>
      </c>
      <c r="D611" s="2">
        <v>46070.0</v>
      </c>
      <c r="E611" s="2">
        <v>46076.0</v>
      </c>
      <c r="F611" s="1">
        <v>10491.0</v>
      </c>
    </row>
    <row r="612">
      <c r="A612" s="1" t="s">
        <v>636</v>
      </c>
      <c r="B612" s="1" t="s">
        <v>10</v>
      </c>
      <c r="C612" s="1" t="s">
        <v>14</v>
      </c>
      <c r="D612" s="2">
        <v>46070.0</v>
      </c>
      <c r="E612" s="2">
        <v>46074.0</v>
      </c>
      <c r="F612" s="1">
        <v>7312.0</v>
      </c>
    </row>
    <row r="613">
      <c r="A613" s="1" t="s">
        <v>637</v>
      </c>
      <c r="B613" s="1" t="s">
        <v>13</v>
      </c>
      <c r="C613" s="1" t="s">
        <v>11</v>
      </c>
      <c r="D613" s="2">
        <v>46053.0</v>
      </c>
      <c r="E613" s="3">
        <v>46060.0</v>
      </c>
      <c r="F613" s="1">
        <v>8019.0</v>
      </c>
    </row>
    <row r="614">
      <c r="A614" s="1" t="s">
        <v>638</v>
      </c>
      <c r="B614" s="1" t="s">
        <v>19</v>
      </c>
      <c r="C614" s="1" t="s">
        <v>16</v>
      </c>
      <c r="D614" s="2">
        <v>46067.0</v>
      </c>
      <c r="E614" s="3">
        <v>46069.0</v>
      </c>
      <c r="F614" s="1">
        <v>5112.0</v>
      </c>
    </row>
    <row r="615">
      <c r="A615" s="1" t="s">
        <v>639</v>
      </c>
      <c r="B615" s="1" t="s">
        <v>10</v>
      </c>
      <c r="C615" s="1" t="s">
        <v>14</v>
      </c>
      <c r="D615" s="2">
        <v>46068.0</v>
      </c>
      <c r="E615" s="2">
        <v>46072.0</v>
      </c>
      <c r="F615" s="1">
        <v>10210.0</v>
      </c>
    </row>
    <row r="616">
      <c r="A616" s="1" t="s">
        <v>640</v>
      </c>
      <c r="B616" s="1" t="s">
        <v>10</v>
      </c>
      <c r="C616" s="1" t="s">
        <v>11</v>
      </c>
      <c r="D616" s="2">
        <v>46048.0</v>
      </c>
      <c r="E616" s="2">
        <v>46056.0</v>
      </c>
      <c r="F616" s="1">
        <v>1698.0</v>
      </c>
    </row>
    <row r="617">
      <c r="A617" s="1" t="s">
        <v>641</v>
      </c>
      <c r="B617" s="1" t="s">
        <v>10</v>
      </c>
      <c r="C617" s="1" t="s">
        <v>14</v>
      </c>
      <c r="D617" s="2">
        <v>46058.0</v>
      </c>
      <c r="E617" s="2">
        <v>46065.0</v>
      </c>
      <c r="F617" s="1">
        <v>5738.0</v>
      </c>
    </row>
    <row r="618">
      <c r="A618" s="1" t="s">
        <v>642</v>
      </c>
      <c r="B618" s="1" t="s">
        <v>10</v>
      </c>
      <c r="C618" s="1" t="s">
        <v>14</v>
      </c>
      <c r="D618" s="3">
        <v>46072.0</v>
      </c>
      <c r="E618" s="2">
        <v>46076.0</v>
      </c>
      <c r="F618" s="1">
        <v>11166.0</v>
      </c>
    </row>
    <row r="619">
      <c r="A619" s="1" t="s">
        <v>643</v>
      </c>
      <c r="B619" s="1" t="s">
        <v>19</v>
      </c>
      <c r="C619" s="1" t="s">
        <v>16</v>
      </c>
      <c r="D619" s="2">
        <v>46047.0</v>
      </c>
      <c r="E619" s="2">
        <v>46049.0</v>
      </c>
      <c r="F619" s="1">
        <v>6589.0</v>
      </c>
    </row>
    <row r="620">
      <c r="A620" s="1" t="s">
        <v>644</v>
      </c>
      <c r="B620" s="1" t="s">
        <v>13</v>
      </c>
      <c r="C620" s="1" t="s">
        <v>11</v>
      </c>
      <c r="D620" s="2">
        <v>46057.0</v>
      </c>
      <c r="E620" s="2">
        <v>46064.0</v>
      </c>
      <c r="F620" s="1">
        <v>6757.0</v>
      </c>
    </row>
    <row r="621">
      <c r="A621" s="1" t="s">
        <v>645</v>
      </c>
      <c r="B621" s="1" t="s">
        <v>13</v>
      </c>
      <c r="C621" s="1" t="s">
        <v>11</v>
      </c>
      <c r="D621" s="2">
        <v>46045.0</v>
      </c>
      <c r="E621" s="2">
        <v>46052.0</v>
      </c>
      <c r="F621" s="1">
        <v>8205.0</v>
      </c>
    </row>
    <row r="622">
      <c r="A622" s="1" t="s">
        <v>646</v>
      </c>
      <c r="B622" s="1" t="s">
        <v>10</v>
      </c>
      <c r="C622" s="1" t="s">
        <v>16</v>
      </c>
      <c r="D622" s="2">
        <v>46039.0</v>
      </c>
      <c r="E622" s="2">
        <v>46041.0</v>
      </c>
      <c r="F622" s="1">
        <v>4219.0</v>
      </c>
    </row>
    <row r="623">
      <c r="A623" s="1" t="s">
        <v>647</v>
      </c>
      <c r="B623" s="1" t="s">
        <v>19</v>
      </c>
      <c r="C623" s="1" t="s">
        <v>16</v>
      </c>
      <c r="D623" s="2">
        <v>46055.0</v>
      </c>
      <c r="E623" s="2">
        <v>46057.0</v>
      </c>
      <c r="F623" s="1">
        <v>802.0</v>
      </c>
    </row>
    <row r="624">
      <c r="A624" s="1" t="s">
        <v>648</v>
      </c>
      <c r="B624" s="1" t="s">
        <v>13</v>
      </c>
      <c r="C624" s="1" t="s">
        <v>11</v>
      </c>
      <c r="D624" s="3">
        <v>46052.0</v>
      </c>
      <c r="E624" s="2">
        <v>46058.0</v>
      </c>
      <c r="F624" s="1">
        <v>1486.0</v>
      </c>
    </row>
    <row r="625">
      <c r="A625" s="1" t="s">
        <v>649</v>
      </c>
      <c r="B625" s="1" t="s">
        <v>13</v>
      </c>
      <c r="C625" s="1" t="s">
        <v>14</v>
      </c>
      <c r="D625" s="2">
        <v>46074.0</v>
      </c>
      <c r="E625" s="2">
        <v>46078.0</v>
      </c>
      <c r="F625" s="1">
        <v>10555.0</v>
      </c>
    </row>
    <row r="626">
      <c r="A626" s="1" t="s">
        <v>650</v>
      </c>
      <c r="B626" s="1" t="s">
        <v>13</v>
      </c>
      <c r="C626" s="1" t="s">
        <v>16</v>
      </c>
      <c r="D626" s="2">
        <v>46053.0</v>
      </c>
      <c r="E626" s="2">
        <v>46055.0</v>
      </c>
      <c r="F626" s="1">
        <v>4940.0</v>
      </c>
    </row>
    <row r="627">
      <c r="A627" s="1" t="s">
        <v>651</v>
      </c>
      <c r="B627" s="1" t="s">
        <v>13</v>
      </c>
      <c r="C627" s="1" t="s">
        <v>16</v>
      </c>
      <c r="D627" s="2">
        <v>46076.0</v>
      </c>
      <c r="E627" s="3">
        <v>46078.0</v>
      </c>
      <c r="F627" s="1">
        <v>5409.0</v>
      </c>
    </row>
    <row r="628">
      <c r="A628" s="1" t="s">
        <v>652</v>
      </c>
      <c r="B628" s="1" t="s">
        <v>13</v>
      </c>
      <c r="C628" s="1" t="s">
        <v>14</v>
      </c>
      <c r="D628" s="2">
        <v>46081.0</v>
      </c>
      <c r="E628" s="3">
        <v>46085.0</v>
      </c>
      <c r="F628" s="1">
        <v>3572.0</v>
      </c>
    </row>
    <row r="629">
      <c r="A629" s="1" t="s">
        <v>653</v>
      </c>
      <c r="B629" s="1" t="s">
        <v>13</v>
      </c>
      <c r="C629" s="1" t="s">
        <v>11</v>
      </c>
      <c r="D629" s="2">
        <v>46046.0</v>
      </c>
      <c r="F629" s="1">
        <v>3624.0</v>
      </c>
    </row>
    <row r="630">
      <c r="A630" s="1" t="s">
        <v>654</v>
      </c>
      <c r="B630" s="1" t="s">
        <v>19</v>
      </c>
      <c r="C630" s="1" t="s">
        <v>14</v>
      </c>
      <c r="D630" s="2">
        <v>46049.0</v>
      </c>
      <c r="E630" s="2">
        <v>46053.0</v>
      </c>
      <c r="F630" s="1">
        <v>10019.0</v>
      </c>
    </row>
    <row r="631">
      <c r="A631" s="1" t="s">
        <v>655</v>
      </c>
      <c r="B631" s="1" t="s">
        <v>10</v>
      </c>
      <c r="C631" s="1" t="s">
        <v>16</v>
      </c>
      <c r="D631" s="2">
        <v>46059.0</v>
      </c>
      <c r="E631" s="2">
        <v>46061.0</v>
      </c>
      <c r="F631" s="1">
        <v>11100.0</v>
      </c>
    </row>
    <row r="632">
      <c r="A632" s="1" t="s">
        <v>656</v>
      </c>
      <c r="B632" s="1" t="s">
        <v>13</v>
      </c>
      <c r="C632" s="1" t="s">
        <v>14</v>
      </c>
      <c r="D632" s="3">
        <v>46070.0</v>
      </c>
      <c r="E632" s="2">
        <v>46075.0</v>
      </c>
      <c r="F632" s="1">
        <v>8625.0</v>
      </c>
    </row>
    <row r="633">
      <c r="A633" s="1" t="s">
        <v>657</v>
      </c>
      <c r="B633" s="1" t="s">
        <v>19</v>
      </c>
      <c r="C633" s="1" t="s">
        <v>11</v>
      </c>
      <c r="D633" s="2">
        <v>46024.0</v>
      </c>
      <c r="E633" s="2">
        <v>46032.0</v>
      </c>
      <c r="F633" s="1">
        <v>3791.0</v>
      </c>
    </row>
    <row r="634">
      <c r="A634" s="1" t="s">
        <v>658</v>
      </c>
      <c r="B634" s="1" t="s">
        <v>19</v>
      </c>
      <c r="C634" s="1" t="s">
        <v>16</v>
      </c>
      <c r="D634" s="3">
        <v>46058.0</v>
      </c>
      <c r="E634" s="2">
        <v>46060.0</v>
      </c>
      <c r="F634" s="1">
        <v>4533.0</v>
      </c>
    </row>
    <row r="635">
      <c r="A635" s="1" t="s">
        <v>659</v>
      </c>
      <c r="B635" s="1" t="s">
        <v>10</v>
      </c>
      <c r="C635" s="1" t="s">
        <v>14</v>
      </c>
      <c r="D635" s="2">
        <v>46060.0</v>
      </c>
      <c r="E635" s="2">
        <v>46064.0</v>
      </c>
      <c r="F635" s="1">
        <v>5605.0</v>
      </c>
    </row>
    <row r="636">
      <c r="A636" s="1" t="s">
        <v>660</v>
      </c>
      <c r="B636" s="1" t="s">
        <v>10</v>
      </c>
      <c r="C636" s="1" t="s">
        <v>11</v>
      </c>
      <c r="D636" s="2">
        <v>46049.0</v>
      </c>
      <c r="F636" s="1">
        <v>1203.0</v>
      </c>
    </row>
    <row r="637">
      <c r="A637" s="1" t="s">
        <v>661</v>
      </c>
      <c r="B637" s="1" t="s">
        <v>13</v>
      </c>
      <c r="C637" s="1" t="s">
        <v>11</v>
      </c>
      <c r="D637" s="3">
        <v>46032.0</v>
      </c>
      <c r="F637" s="1">
        <v>8633.0</v>
      </c>
    </row>
    <row r="638">
      <c r="A638" s="1" t="s">
        <v>662</v>
      </c>
      <c r="B638" s="1" t="s">
        <v>10</v>
      </c>
      <c r="C638" s="1" t="s">
        <v>11</v>
      </c>
      <c r="D638" s="2">
        <v>46044.0</v>
      </c>
      <c r="E638" s="2">
        <v>46050.0</v>
      </c>
      <c r="F638" s="1">
        <v>1074.0</v>
      </c>
    </row>
    <row r="639">
      <c r="A639" s="1" t="s">
        <v>663</v>
      </c>
      <c r="B639" s="1" t="s">
        <v>10</v>
      </c>
      <c r="C639" s="1" t="s">
        <v>11</v>
      </c>
      <c r="D639" s="2">
        <v>46047.0</v>
      </c>
      <c r="E639" s="2">
        <v>46053.0</v>
      </c>
      <c r="F639" s="1">
        <v>6204.0</v>
      </c>
    </row>
    <row r="640">
      <c r="A640" s="1" t="s">
        <v>664</v>
      </c>
      <c r="B640" s="1" t="s">
        <v>19</v>
      </c>
      <c r="C640" s="1" t="s">
        <v>11</v>
      </c>
      <c r="D640" s="2">
        <v>46076.0</v>
      </c>
      <c r="E640" s="2">
        <v>46082.0</v>
      </c>
      <c r="F640" s="1">
        <v>11924.0</v>
      </c>
    </row>
    <row r="641">
      <c r="A641" s="1" t="s">
        <v>665</v>
      </c>
      <c r="B641" s="1" t="s">
        <v>19</v>
      </c>
      <c r="C641" s="1" t="s">
        <v>11</v>
      </c>
      <c r="D641" s="2">
        <v>46054.0</v>
      </c>
      <c r="E641" s="2">
        <v>46060.0</v>
      </c>
      <c r="F641" s="1">
        <v>8348.0</v>
      </c>
    </row>
    <row r="642">
      <c r="A642" s="1" t="s">
        <v>666</v>
      </c>
      <c r="B642" s="1" t="s">
        <v>19</v>
      </c>
      <c r="C642" s="1" t="s">
        <v>16</v>
      </c>
      <c r="D642" s="2">
        <v>46064.0</v>
      </c>
      <c r="E642" s="2">
        <v>46066.0</v>
      </c>
      <c r="F642" s="1">
        <v>5708.0</v>
      </c>
    </row>
    <row r="643">
      <c r="A643" s="1" t="s">
        <v>667</v>
      </c>
      <c r="B643" s="1" t="s">
        <v>13</v>
      </c>
      <c r="C643" s="1" t="s">
        <v>11</v>
      </c>
      <c r="D643" s="2">
        <v>46044.0</v>
      </c>
      <c r="E643" s="2">
        <v>46050.0</v>
      </c>
      <c r="F643" s="1">
        <v>7424.0</v>
      </c>
    </row>
    <row r="644">
      <c r="A644" s="1" t="s">
        <v>668</v>
      </c>
      <c r="B644" s="1" t="s">
        <v>13</v>
      </c>
      <c r="C644" s="1" t="s">
        <v>11</v>
      </c>
      <c r="D644" s="3">
        <v>46071.0</v>
      </c>
      <c r="E644" s="2">
        <v>46077.0</v>
      </c>
      <c r="F644" s="1">
        <v>11324.0</v>
      </c>
    </row>
    <row r="645">
      <c r="A645" s="1" t="s">
        <v>669</v>
      </c>
      <c r="B645" s="1" t="s">
        <v>10</v>
      </c>
      <c r="C645" s="1" t="s">
        <v>11</v>
      </c>
      <c r="D645" s="2">
        <v>46069.0</v>
      </c>
      <c r="E645" s="3">
        <v>46075.0</v>
      </c>
      <c r="F645" s="1">
        <v>4328.0</v>
      </c>
    </row>
    <row r="646">
      <c r="A646" s="1" t="s">
        <v>670</v>
      </c>
      <c r="B646" s="1" t="s">
        <v>10</v>
      </c>
      <c r="C646" s="1" t="s">
        <v>14</v>
      </c>
      <c r="D646" s="2">
        <v>46070.0</v>
      </c>
      <c r="E646" s="3">
        <v>46074.0</v>
      </c>
      <c r="F646" s="1">
        <v>3730.0</v>
      </c>
    </row>
    <row r="647">
      <c r="A647" s="1" t="s">
        <v>671</v>
      </c>
      <c r="B647" s="1" t="s">
        <v>13</v>
      </c>
      <c r="C647" s="1" t="s">
        <v>16</v>
      </c>
      <c r="D647" s="2">
        <v>46052.0</v>
      </c>
      <c r="E647" s="3">
        <v>46056.0</v>
      </c>
      <c r="F647" s="1">
        <v>988.0</v>
      </c>
    </row>
    <row r="648">
      <c r="A648" s="1" t="s">
        <v>672</v>
      </c>
      <c r="B648" s="1" t="s">
        <v>13</v>
      </c>
      <c r="C648" s="1" t="s">
        <v>16</v>
      </c>
      <c r="D648" s="2">
        <v>46069.0</v>
      </c>
      <c r="E648" s="2">
        <v>46071.0</v>
      </c>
      <c r="F648" s="1">
        <v>7614.0</v>
      </c>
    </row>
    <row r="649">
      <c r="A649" s="1" t="s">
        <v>673</v>
      </c>
      <c r="B649" s="1" t="s">
        <v>19</v>
      </c>
      <c r="C649" s="1" t="s">
        <v>14</v>
      </c>
      <c r="D649" s="2">
        <v>46045.0</v>
      </c>
      <c r="E649" s="2">
        <v>46049.0</v>
      </c>
      <c r="F649" s="1">
        <v>10039.0</v>
      </c>
    </row>
    <row r="650">
      <c r="A650" s="1" t="s">
        <v>674</v>
      </c>
      <c r="B650" s="1" t="s">
        <v>13</v>
      </c>
      <c r="C650" s="1" t="s">
        <v>11</v>
      </c>
      <c r="D650" s="3">
        <v>46031.0</v>
      </c>
      <c r="E650" s="2">
        <v>46038.0</v>
      </c>
      <c r="F650" s="1">
        <v>3673.0</v>
      </c>
    </row>
    <row r="651">
      <c r="A651" s="1" t="s">
        <v>675</v>
      </c>
      <c r="B651" s="1" t="s">
        <v>13</v>
      </c>
      <c r="C651" s="1" t="s">
        <v>14</v>
      </c>
      <c r="D651" s="2">
        <v>46057.0</v>
      </c>
      <c r="E651" s="2">
        <v>46061.0</v>
      </c>
      <c r="F651" s="1">
        <v>2167.0</v>
      </c>
    </row>
    <row r="652">
      <c r="A652" s="1" t="s">
        <v>676</v>
      </c>
      <c r="B652" s="1" t="s">
        <v>10</v>
      </c>
      <c r="C652" s="1" t="s">
        <v>14</v>
      </c>
      <c r="D652" s="3">
        <v>46034.0</v>
      </c>
      <c r="E652" s="2">
        <v>46038.0</v>
      </c>
      <c r="F652" s="1">
        <v>10329.0</v>
      </c>
    </row>
    <row r="653">
      <c r="A653" s="1" t="s">
        <v>677</v>
      </c>
      <c r="B653" s="1" t="s">
        <v>10</v>
      </c>
      <c r="C653" s="1" t="s">
        <v>14</v>
      </c>
      <c r="D653" s="2">
        <v>46064.0</v>
      </c>
      <c r="E653" s="2">
        <v>46068.0</v>
      </c>
      <c r="F653" s="1">
        <v>4614.0</v>
      </c>
    </row>
    <row r="654">
      <c r="A654" s="1" t="s">
        <v>678</v>
      </c>
      <c r="B654" s="1" t="s">
        <v>19</v>
      </c>
      <c r="C654" s="1" t="s">
        <v>16</v>
      </c>
      <c r="D654" s="2">
        <v>46056.0</v>
      </c>
      <c r="E654" s="2">
        <v>46058.0</v>
      </c>
      <c r="F654" s="1">
        <v>4053.0</v>
      </c>
    </row>
    <row r="655">
      <c r="A655" s="1" t="s">
        <v>679</v>
      </c>
      <c r="B655" s="1" t="s">
        <v>13</v>
      </c>
      <c r="C655" s="1" t="s">
        <v>16</v>
      </c>
      <c r="D655" s="2">
        <v>46076.0</v>
      </c>
      <c r="E655" s="3">
        <v>46079.0</v>
      </c>
      <c r="F655" s="1">
        <v>8261.0</v>
      </c>
    </row>
    <row r="656">
      <c r="A656" s="1" t="s">
        <v>680</v>
      </c>
      <c r="B656" s="1" t="s">
        <v>10</v>
      </c>
      <c r="C656" s="1" t="s">
        <v>16</v>
      </c>
      <c r="D656" s="2">
        <v>46083.0</v>
      </c>
      <c r="E656" s="2">
        <v>46085.0</v>
      </c>
      <c r="F656" s="1">
        <v>1500.0</v>
      </c>
    </row>
    <row r="657">
      <c r="A657" s="1" t="s">
        <v>681</v>
      </c>
      <c r="B657" s="1" t="s">
        <v>13</v>
      </c>
      <c r="C657" s="1" t="s">
        <v>11</v>
      </c>
      <c r="D657" s="2">
        <v>46026.0</v>
      </c>
      <c r="E657" s="2">
        <v>46032.0</v>
      </c>
      <c r="F657" s="1">
        <v>9542.0</v>
      </c>
    </row>
    <row r="658">
      <c r="A658" s="1" t="s">
        <v>682</v>
      </c>
      <c r="B658" s="1" t="s">
        <v>13</v>
      </c>
      <c r="C658" s="1" t="s">
        <v>11</v>
      </c>
      <c r="D658" s="2">
        <v>46023.0</v>
      </c>
      <c r="F658" s="1">
        <v>1888.0</v>
      </c>
    </row>
    <row r="659">
      <c r="A659" s="1" t="s">
        <v>683</v>
      </c>
      <c r="B659" s="1" t="s">
        <v>19</v>
      </c>
      <c r="C659" s="1" t="s">
        <v>14</v>
      </c>
      <c r="D659" s="2">
        <v>46031.0</v>
      </c>
      <c r="E659" s="2">
        <v>46035.0</v>
      </c>
      <c r="F659" s="1">
        <v>5950.0</v>
      </c>
    </row>
    <row r="660">
      <c r="A660" s="1" t="s">
        <v>684</v>
      </c>
      <c r="B660" s="1" t="s">
        <v>13</v>
      </c>
      <c r="C660" s="1" t="s">
        <v>16</v>
      </c>
      <c r="D660" s="2">
        <v>46037.0</v>
      </c>
      <c r="E660" s="2">
        <v>46039.0</v>
      </c>
      <c r="F660" s="1">
        <v>4212.0</v>
      </c>
    </row>
    <row r="661">
      <c r="A661" s="1" t="s">
        <v>685</v>
      </c>
      <c r="B661" s="1" t="s">
        <v>19</v>
      </c>
      <c r="C661" s="1" t="s">
        <v>16</v>
      </c>
      <c r="D661" s="2">
        <v>46068.0</v>
      </c>
      <c r="E661" s="3">
        <v>46070.0</v>
      </c>
      <c r="F661" s="1">
        <v>1867.0</v>
      </c>
    </row>
    <row r="662">
      <c r="A662" s="1" t="s">
        <v>686</v>
      </c>
      <c r="B662" s="1" t="s">
        <v>10</v>
      </c>
      <c r="C662" s="1" t="s">
        <v>11</v>
      </c>
      <c r="D662" s="2">
        <v>46023.0</v>
      </c>
      <c r="E662" s="2">
        <v>46029.0</v>
      </c>
      <c r="F662" s="1">
        <v>8689.0</v>
      </c>
    </row>
    <row r="663">
      <c r="A663" s="1" t="s">
        <v>687</v>
      </c>
      <c r="B663" s="1" t="s">
        <v>10</v>
      </c>
      <c r="C663" s="1" t="s">
        <v>11</v>
      </c>
      <c r="D663" s="2">
        <v>46055.0</v>
      </c>
      <c r="E663" s="2">
        <v>46066.0</v>
      </c>
      <c r="F663" s="1">
        <v>9513.0</v>
      </c>
    </row>
    <row r="664">
      <c r="A664" s="1" t="s">
        <v>688</v>
      </c>
      <c r="B664" s="1" t="s">
        <v>10</v>
      </c>
      <c r="C664" s="1" t="s">
        <v>16</v>
      </c>
      <c r="D664" s="2">
        <v>46046.0</v>
      </c>
      <c r="E664" s="2">
        <v>46048.0</v>
      </c>
      <c r="F664" s="1">
        <v>954.0</v>
      </c>
    </row>
    <row r="665">
      <c r="A665" s="1" t="s">
        <v>689</v>
      </c>
      <c r="B665" s="1" t="s">
        <v>10</v>
      </c>
      <c r="C665" s="1" t="s">
        <v>16</v>
      </c>
      <c r="D665" s="2">
        <v>46062.0</v>
      </c>
      <c r="E665" s="2">
        <v>46064.0</v>
      </c>
      <c r="F665" s="1">
        <v>10316.0</v>
      </c>
    </row>
    <row r="666">
      <c r="A666" s="1" t="s">
        <v>690</v>
      </c>
      <c r="B666" s="1" t="s">
        <v>19</v>
      </c>
      <c r="C666" s="1" t="s">
        <v>11</v>
      </c>
      <c r="D666" s="2">
        <v>46065.0</v>
      </c>
      <c r="E666" s="2">
        <v>46071.0</v>
      </c>
      <c r="F666" s="1">
        <v>3272.0</v>
      </c>
    </row>
    <row r="667">
      <c r="A667" s="1" t="s">
        <v>691</v>
      </c>
      <c r="B667" s="1" t="s">
        <v>19</v>
      </c>
      <c r="C667" s="1" t="s">
        <v>11</v>
      </c>
      <c r="D667" s="2">
        <v>46081.0</v>
      </c>
      <c r="E667" s="2">
        <v>46087.0</v>
      </c>
      <c r="F667" s="1">
        <v>4226.0</v>
      </c>
    </row>
    <row r="668">
      <c r="A668" s="1" t="s">
        <v>692</v>
      </c>
      <c r="B668" s="1" t="s">
        <v>10</v>
      </c>
      <c r="C668" s="1" t="s">
        <v>16</v>
      </c>
      <c r="D668" s="2">
        <v>46065.0</v>
      </c>
      <c r="E668" s="2">
        <v>46067.0</v>
      </c>
      <c r="F668" s="1">
        <v>7732.0</v>
      </c>
    </row>
    <row r="669">
      <c r="A669" s="1" t="s">
        <v>693</v>
      </c>
      <c r="B669" s="1" t="s">
        <v>10</v>
      </c>
      <c r="C669" s="1" t="s">
        <v>14</v>
      </c>
      <c r="D669" s="2">
        <v>46024.0</v>
      </c>
      <c r="E669" s="2">
        <v>46028.0</v>
      </c>
      <c r="F669" s="1">
        <v>11839.0</v>
      </c>
    </row>
    <row r="670">
      <c r="A670" s="1" t="s">
        <v>694</v>
      </c>
      <c r="B670" s="1" t="s">
        <v>10</v>
      </c>
      <c r="C670" s="1" t="s">
        <v>14</v>
      </c>
      <c r="D670" s="3">
        <v>46057.0</v>
      </c>
      <c r="E670" s="2">
        <v>46061.0</v>
      </c>
      <c r="F670" s="1">
        <v>5306.0</v>
      </c>
    </row>
    <row r="671">
      <c r="A671" s="1" t="s">
        <v>695</v>
      </c>
      <c r="B671" s="1" t="s">
        <v>19</v>
      </c>
      <c r="C671" s="1" t="s">
        <v>14</v>
      </c>
      <c r="D671" s="2">
        <v>46049.0</v>
      </c>
      <c r="E671" s="2">
        <v>46053.0</v>
      </c>
      <c r="F671" s="1">
        <v>2690.0</v>
      </c>
    </row>
    <row r="672">
      <c r="A672" s="1" t="s">
        <v>696</v>
      </c>
      <c r="B672" s="1" t="s">
        <v>10</v>
      </c>
      <c r="C672" s="1" t="s">
        <v>14</v>
      </c>
      <c r="D672" s="2">
        <v>46024.0</v>
      </c>
      <c r="E672" s="2">
        <v>46028.0</v>
      </c>
      <c r="F672" s="1">
        <v>9608.0</v>
      </c>
    </row>
    <row r="673">
      <c r="A673" s="1" t="s">
        <v>697</v>
      </c>
      <c r="B673" s="1" t="s">
        <v>19</v>
      </c>
      <c r="C673" s="1" t="s">
        <v>16</v>
      </c>
      <c r="D673" s="3">
        <v>46069.0</v>
      </c>
      <c r="E673" s="2">
        <v>46073.0</v>
      </c>
      <c r="F673" s="1">
        <v>3375.0</v>
      </c>
    </row>
    <row r="674">
      <c r="A674" s="1" t="s">
        <v>698</v>
      </c>
      <c r="B674" s="1" t="s">
        <v>13</v>
      </c>
      <c r="C674" s="1" t="s">
        <v>14</v>
      </c>
      <c r="D674" s="2">
        <v>46057.0</v>
      </c>
      <c r="E674" s="2">
        <v>46061.0</v>
      </c>
      <c r="F674" s="1">
        <v>6092.0</v>
      </c>
    </row>
    <row r="675">
      <c r="A675" s="1" t="s">
        <v>699</v>
      </c>
      <c r="B675" s="1" t="s">
        <v>10</v>
      </c>
      <c r="C675" s="1" t="s">
        <v>14</v>
      </c>
      <c r="D675" s="2">
        <v>46024.0</v>
      </c>
      <c r="E675" s="2">
        <v>46028.0</v>
      </c>
      <c r="F675" s="1">
        <v>1940.0</v>
      </c>
    </row>
    <row r="676">
      <c r="A676" s="1" t="s">
        <v>700</v>
      </c>
      <c r="B676" s="1" t="s">
        <v>19</v>
      </c>
      <c r="C676" s="1" t="s">
        <v>11</v>
      </c>
      <c r="D676" s="2">
        <v>46075.0</v>
      </c>
      <c r="F676" s="1">
        <v>9427.0</v>
      </c>
    </row>
    <row r="677">
      <c r="A677" s="1" t="s">
        <v>701</v>
      </c>
      <c r="B677" s="1" t="s">
        <v>19</v>
      </c>
      <c r="C677" s="1" t="s">
        <v>14</v>
      </c>
      <c r="D677" s="2">
        <v>46066.0</v>
      </c>
      <c r="E677" s="2">
        <v>46075.0</v>
      </c>
      <c r="F677" s="1">
        <v>6559.0</v>
      </c>
    </row>
    <row r="678">
      <c r="A678" s="1" t="s">
        <v>702</v>
      </c>
      <c r="B678" s="1" t="s">
        <v>19</v>
      </c>
      <c r="C678" s="1" t="s">
        <v>11</v>
      </c>
      <c r="D678" s="2">
        <v>46074.0</v>
      </c>
      <c r="E678" s="2">
        <v>46080.0</v>
      </c>
      <c r="F678" s="1">
        <v>7510.0</v>
      </c>
    </row>
    <row r="679">
      <c r="A679" s="1" t="s">
        <v>703</v>
      </c>
      <c r="B679" s="1" t="s">
        <v>13</v>
      </c>
      <c r="C679" s="1" t="s">
        <v>11</v>
      </c>
      <c r="D679" s="2">
        <v>46029.0</v>
      </c>
      <c r="E679" s="3">
        <v>46035.0</v>
      </c>
      <c r="F679" s="1">
        <v>11707.0</v>
      </c>
    </row>
    <row r="680">
      <c r="A680" s="1" t="s">
        <v>704</v>
      </c>
      <c r="B680" s="1" t="s">
        <v>10</v>
      </c>
      <c r="C680" s="1" t="s">
        <v>16</v>
      </c>
      <c r="D680" s="2">
        <v>46056.0</v>
      </c>
      <c r="E680" s="2">
        <v>46061.0</v>
      </c>
      <c r="F680" s="1">
        <v>7617.0</v>
      </c>
    </row>
    <row r="681">
      <c r="A681" s="1" t="s">
        <v>705</v>
      </c>
      <c r="B681" s="1" t="s">
        <v>19</v>
      </c>
      <c r="C681" s="1" t="s">
        <v>16</v>
      </c>
      <c r="D681" s="2">
        <v>46038.0</v>
      </c>
      <c r="E681" s="2">
        <v>46042.0</v>
      </c>
      <c r="F681" s="1">
        <v>11581.0</v>
      </c>
    </row>
    <row r="682">
      <c r="A682" s="1" t="s">
        <v>706</v>
      </c>
      <c r="B682" s="1" t="s">
        <v>10</v>
      </c>
      <c r="C682" s="1" t="s">
        <v>16</v>
      </c>
      <c r="D682" s="2">
        <v>46062.0</v>
      </c>
      <c r="E682" s="2">
        <v>46065.0</v>
      </c>
      <c r="F682" s="1">
        <v>9653.0</v>
      </c>
    </row>
    <row r="683">
      <c r="A683" s="1" t="s">
        <v>707</v>
      </c>
      <c r="B683" s="1" t="s">
        <v>19</v>
      </c>
      <c r="C683" s="1" t="s">
        <v>16</v>
      </c>
      <c r="D683" s="2">
        <v>46039.0</v>
      </c>
      <c r="E683" s="2">
        <v>46041.0</v>
      </c>
      <c r="F683" s="1">
        <v>3489.0</v>
      </c>
    </row>
    <row r="684">
      <c r="A684" s="1" t="s">
        <v>708</v>
      </c>
      <c r="B684" s="1" t="s">
        <v>10</v>
      </c>
      <c r="C684" s="1" t="s">
        <v>11</v>
      </c>
      <c r="D684" s="2">
        <v>46040.0</v>
      </c>
      <c r="E684" s="2">
        <v>46046.0</v>
      </c>
      <c r="F684" s="1">
        <v>9718.0</v>
      </c>
    </row>
    <row r="685">
      <c r="A685" s="1" t="s">
        <v>709</v>
      </c>
      <c r="B685" s="1" t="s">
        <v>13</v>
      </c>
      <c r="C685" s="1" t="s">
        <v>16</v>
      </c>
      <c r="D685" s="3">
        <v>46048.0</v>
      </c>
      <c r="E685" s="2">
        <v>46050.0</v>
      </c>
      <c r="F685" s="1">
        <v>6728.0</v>
      </c>
    </row>
    <row r="686">
      <c r="A686" s="1" t="s">
        <v>710</v>
      </c>
      <c r="B686" s="1" t="s">
        <v>19</v>
      </c>
      <c r="C686" s="1" t="s">
        <v>11</v>
      </c>
      <c r="D686" s="3">
        <v>46046.0</v>
      </c>
      <c r="E686" s="3">
        <v>46055.0</v>
      </c>
      <c r="F686" s="1">
        <v>6971.0</v>
      </c>
    </row>
    <row r="687">
      <c r="A687" s="1" t="s">
        <v>711</v>
      </c>
      <c r="B687" s="1" t="s">
        <v>19</v>
      </c>
      <c r="C687" s="1" t="s">
        <v>16</v>
      </c>
      <c r="D687" s="2">
        <v>46052.0</v>
      </c>
      <c r="E687" s="2">
        <v>46054.0</v>
      </c>
      <c r="F687" s="1">
        <v>3363.0</v>
      </c>
    </row>
    <row r="688">
      <c r="A688" s="1" t="s">
        <v>712</v>
      </c>
      <c r="B688" s="1" t="s">
        <v>13</v>
      </c>
      <c r="C688" s="1" t="s">
        <v>14</v>
      </c>
      <c r="D688" s="2">
        <v>46038.0</v>
      </c>
      <c r="E688" s="2">
        <v>46042.0</v>
      </c>
      <c r="F688" s="1">
        <v>11193.0</v>
      </c>
    </row>
    <row r="689">
      <c r="A689" s="1" t="s">
        <v>713</v>
      </c>
      <c r="B689" s="1" t="s">
        <v>10</v>
      </c>
      <c r="C689" s="1" t="s">
        <v>14</v>
      </c>
      <c r="D689" s="2">
        <v>46037.0</v>
      </c>
      <c r="E689" s="2">
        <v>46041.0</v>
      </c>
      <c r="F689" s="1">
        <v>10639.0</v>
      </c>
    </row>
    <row r="690">
      <c r="A690" s="1" t="s">
        <v>714</v>
      </c>
      <c r="B690" s="1" t="s">
        <v>19</v>
      </c>
      <c r="C690" s="1" t="s">
        <v>11</v>
      </c>
      <c r="D690" s="2">
        <v>46066.0</v>
      </c>
      <c r="E690" s="2">
        <v>46073.0</v>
      </c>
      <c r="F690" s="1">
        <v>1677.0</v>
      </c>
    </row>
    <row r="691">
      <c r="A691" s="1" t="s">
        <v>715</v>
      </c>
      <c r="B691" s="1" t="s">
        <v>13</v>
      </c>
      <c r="C691" s="1" t="s">
        <v>14</v>
      </c>
      <c r="D691" s="2">
        <v>46064.0</v>
      </c>
      <c r="E691" s="2">
        <v>46068.0</v>
      </c>
      <c r="F691" s="1">
        <v>5260.0</v>
      </c>
    </row>
    <row r="692">
      <c r="A692" s="1" t="s">
        <v>716</v>
      </c>
      <c r="B692" s="1" t="s">
        <v>19</v>
      </c>
      <c r="C692" s="1" t="s">
        <v>14</v>
      </c>
      <c r="D692" s="2">
        <v>46071.0</v>
      </c>
      <c r="E692" s="2">
        <v>46075.0</v>
      </c>
      <c r="F692" s="1">
        <v>511.0</v>
      </c>
    </row>
    <row r="693">
      <c r="A693" s="1" t="s">
        <v>717</v>
      </c>
      <c r="B693" s="1" t="s">
        <v>19</v>
      </c>
      <c r="C693" s="1" t="s">
        <v>11</v>
      </c>
      <c r="D693" s="2">
        <v>46028.0</v>
      </c>
      <c r="E693" s="2">
        <v>46034.0</v>
      </c>
      <c r="F693" s="1">
        <v>5752.0</v>
      </c>
    </row>
    <row r="694">
      <c r="A694" s="1" t="s">
        <v>718</v>
      </c>
      <c r="B694" s="1" t="s">
        <v>19</v>
      </c>
      <c r="C694" s="1" t="s">
        <v>14</v>
      </c>
      <c r="D694" s="2">
        <v>46047.0</v>
      </c>
      <c r="E694" s="2">
        <v>46051.0</v>
      </c>
      <c r="F694" s="1">
        <v>4899.0</v>
      </c>
    </row>
    <row r="695">
      <c r="A695" s="1" t="s">
        <v>719</v>
      </c>
      <c r="B695" s="1" t="s">
        <v>10</v>
      </c>
      <c r="C695" s="1" t="s">
        <v>14</v>
      </c>
      <c r="D695" s="2">
        <v>46058.0</v>
      </c>
      <c r="E695" s="2">
        <v>46062.0</v>
      </c>
      <c r="F695" s="1">
        <v>11714.0</v>
      </c>
    </row>
    <row r="696">
      <c r="A696" s="1" t="s">
        <v>720</v>
      </c>
      <c r="B696" s="1" t="s">
        <v>13</v>
      </c>
      <c r="C696" s="1" t="s">
        <v>14</v>
      </c>
      <c r="D696" s="2">
        <v>46026.0</v>
      </c>
      <c r="E696" s="2">
        <v>46030.0</v>
      </c>
      <c r="F696" s="1">
        <v>11522.0</v>
      </c>
    </row>
    <row r="697">
      <c r="A697" s="1" t="s">
        <v>721</v>
      </c>
      <c r="B697" s="1" t="s">
        <v>13</v>
      </c>
      <c r="C697" s="1" t="s">
        <v>16</v>
      </c>
      <c r="D697" s="2">
        <v>46023.0</v>
      </c>
      <c r="E697" s="2">
        <v>46025.0</v>
      </c>
      <c r="F697" s="1">
        <v>8734.0</v>
      </c>
    </row>
    <row r="698">
      <c r="A698" s="1" t="s">
        <v>722</v>
      </c>
      <c r="B698" s="1" t="s">
        <v>13</v>
      </c>
      <c r="C698" s="1" t="s">
        <v>11</v>
      </c>
      <c r="D698" s="2">
        <v>46033.0</v>
      </c>
      <c r="E698" s="2">
        <v>46039.0</v>
      </c>
      <c r="F698" s="1">
        <v>9635.0</v>
      </c>
    </row>
    <row r="699">
      <c r="A699" s="1" t="s">
        <v>723</v>
      </c>
      <c r="B699" s="1" t="s">
        <v>13</v>
      </c>
      <c r="C699" s="1" t="s">
        <v>16</v>
      </c>
      <c r="D699" s="2">
        <v>46054.0</v>
      </c>
      <c r="E699" s="3">
        <v>46056.0</v>
      </c>
      <c r="F699" s="1">
        <v>11082.0</v>
      </c>
    </row>
    <row r="700">
      <c r="A700" s="1" t="s">
        <v>724</v>
      </c>
      <c r="B700" s="1" t="s">
        <v>19</v>
      </c>
      <c r="C700" s="1" t="s">
        <v>14</v>
      </c>
      <c r="D700" s="2">
        <v>46064.0</v>
      </c>
      <c r="E700" s="2">
        <v>46068.0</v>
      </c>
      <c r="F700" s="1">
        <v>5945.0</v>
      </c>
    </row>
    <row r="701">
      <c r="A701" s="1" t="s">
        <v>725</v>
      </c>
      <c r="B701" s="1" t="s">
        <v>10</v>
      </c>
      <c r="C701" s="1" t="s">
        <v>14</v>
      </c>
      <c r="D701" s="2">
        <v>46044.0</v>
      </c>
      <c r="F701" s="1">
        <v>11237.0</v>
      </c>
    </row>
    <row r="702">
      <c r="A702" s="1" t="s">
        <v>726</v>
      </c>
      <c r="B702" s="1" t="s">
        <v>13</v>
      </c>
      <c r="C702" s="1" t="s">
        <v>16</v>
      </c>
      <c r="D702" s="2">
        <v>46077.0</v>
      </c>
      <c r="E702" s="2">
        <v>46079.0</v>
      </c>
      <c r="F702" s="1">
        <v>11103.0</v>
      </c>
    </row>
    <row r="703">
      <c r="A703" s="1" t="s">
        <v>727</v>
      </c>
      <c r="B703" s="1" t="s">
        <v>10</v>
      </c>
      <c r="C703" s="1" t="s">
        <v>14</v>
      </c>
      <c r="D703" s="2">
        <v>46080.0</v>
      </c>
      <c r="E703" s="2">
        <v>46084.0</v>
      </c>
      <c r="F703" s="1">
        <v>7070.0</v>
      </c>
    </row>
    <row r="704">
      <c r="A704" s="1" t="s">
        <v>728</v>
      </c>
      <c r="B704" s="1" t="s">
        <v>13</v>
      </c>
      <c r="C704" s="1" t="s">
        <v>11</v>
      </c>
      <c r="D704" s="2">
        <v>46081.0</v>
      </c>
      <c r="E704" s="2">
        <v>46087.0</v>
      </c>
      <c r="F704" s="1">
        <v>9696.0</v>
      </c>
    </row>
    <row r="705">
      <c r="A705" s="1" t="s">
        <v>729</v>
      </c>
      <c r="B705" s="1" t="s">
        <v>13</v>
      </c>
      <c r="C705" s="1" t="s">
        <v>11</v>
      </c>
      <c r="D705" s="2">
        <v>46037.0</v>
      </c>
      <c r="E705" s="2">
        <v>46043.0</v>
      </c>
      <c r="F705" s="1">
        <v>8712.0</v>
      </c>
    </row>
    <row r="706">
      <c r="A706" s="1" t="s">
        <v>730</v>
      </c>
      <c r="B706" s="1" t="s">
        <v>19</v>
      </c>
      <c r="C706" s="1" t="s">
        <v>11</v>
      </c>
      <c r="D706" s="2">
        <v>46080.0</v>
      </c>
      <c r="E706" s="2">
        <v>46086.0</v>
      </c>
      <c r="F706" s="1">
        <v>906.0</v>
      </c>
    </row>
    <row r="707">
      <c r="A707" s="1" t="s">
        <v>731</v>
      </c>
      <c r="B707" s="1" t="s">
        <v>19</v>
      </c>
      <c r="C707" s="1" t="s">
        <v>14</v>
      </c>
      <c r="D707" s="3">
        <v>46079.0</v>
      </c>
      <c r="E707" s="2">
        <v>46088.0</v>
      </c>
      <c r="F707" s="1">
        <v>9706.0</v>
      </c>
    </row>
    <row r="708">
      <c r="A708" s="1" t="s">
        <v>732</v>
      </c>
      <c r="B708" s="1" t="s">
        <v>19</v>
      </c>
      <c r="C708" s="1" t="s">
        <v>11</v>
      </c>
      <c r="D708" s="2">
        <v>46053.0</v>
      </c>
      <c r="E708" s="2">
        <v>46059.0</v>
      </c>
      <c r="F708" s="1">
        <v>4931.0</v>
      </c>
    </row>
    <row r="709">
      <c r="A709" s="1" t="s">
        <v>733</v>
      </c>
      <c r="B709" s="1" t="s">
        <v>10</v>
      </c>
      <c r="C709" s="1" t="s">
        <v>11</v>
      </c>
      <c r="D709" s="2">
        <v>46025.0</v>
      </c>
      <c r="E709" s="2">
        <v>46032.0</v>
      </c>
      <c r="F709" s="1">
        <v>10530.0</v>
      </c>
    </row>
    <row r="710">
      <c r="A710" s="1" t="s">
        <v>734</v>
      </c>
      <c r="B710" s="1" t="s">
        <v>19</v>
      </c>
      <c r="C710" s="1" t="s">
        <v>14</v>
      </c>
      <c r="D710" s="3">
        <v>46066.0</v>
      </c>
      <c r="E710" s="2">
        <v>46070.0</v>
      </c>
      <c r="F710" s="1">
        <v>11880.0</v>
      </c>
    </row>
    <row r="711">
      <c r="A711" s="1" t="s">
        <v>735</v>
      </c>
      <c r="B711" s="1" t="s">
        <v>19</v>
      </c>
      <c r="C711" s="1" t="s">
        <v>16</v>
      </c>
      <c r="D711" s="2">
        <v>46080.0</v>
      </c>
      <c r="E711" s="3">
        <v>46082.0</v>
      </c>
      <c r="F711" s="1">
        <v>5743.0</v>
      </c>
    </row>
    <row r="712">
      <c r="A712" s="1" t="s">
        <v>736</v>
      </c>
      <c r="B712" s="1" t="s">
        <v>13</v>
      </c>
      <c r="C712" s="1" t="s">
        <v>16</v>
      </c>
      <c r="D712" s="2">
        <v>46059.0</v>
      </c>
      <c r="E712" s="2">
        <v>46062.0</v>
      </c>
      <c r="F712" s="1">
        <v>7042.0</v>
      </c>
    </row>
    <row r="713">
      <c r="A713" s="1" t="s">
        <v>737</v>
      </c>
      <c r="B713" s="1" t="s">
        <v>13</v>
      </c>
      <c r="C713" s="1" t="s">
        <v>14</v>
      </c>
      <c r="D713" s="2">
        <v>46025.0</v>
      </c>
      <c r="E713" s="2">
        <v>46029.0</v>
      </c>
      <c r="F713" s="1">
        <v>7436.0</v>
      </c>
    </row>
    <row r="714">
      <c r="A714" s="1" t="s">
        <v>738</v>
      </c>
      <c r="B714" s="1" t="s">
        <v>19</v>
      </c>
      <c r="C714" s="1" t="s">
        <v>11</v>
      </c>
      <c r="D714" s="3">
        <v>46082.0</v>
      </c>
      <c r="E714" s="2">
        <v>46088.0</v>
      </c>
      <c r="F714" s="1">
        <v>9406.0</v>
      </c>
    </row>
    <row r="715">
      <c r="A715" s="1" t="s">
        <v>739</v>
      </c>
      <c r="B715" s="1" t="s">
        <v>19</v>
      </c>
      <c r="C715" s="1" t="s">
        <v>16</v>
      </c>
      <c r="D715" s="2">
        <v>46024.0</v>
      </c>
      <c r="E715" s="2">
        <v>46026.0</v>
      </c>
      <c r="F715" s="1">
        <v>4646.0</v>
      </c>
    </row>
    <row r="716">
      <c r="A716" s="1" t="s">
        <v>740</v>
      </c>
      <c r="B716" s="1" t="s">
        <v>10</v>
      </c>
      <c r="C716" s="1" t="s">
        <v>16</v>
      </c>
      <c r="D716" s="2">
        <v>46060.0</v>
      </c>
      <c r="E716" s="2">
        <v>46062.0</v>
      </c>
      <c r="F716" s="1">
        <v>640.0</v>
      </c>
    </row>
    <row r="717">
      <c r="A717" s="1" t="s">
        <v>741</v>
      </c>
      <c r="B717" s="1" t="s">
        <v>10</v>
      </c>
      <c r="C717" s="1" t="s">
        <v>16</v>
      </c>
      <c r="D717" s="2">
        <v>46071.0</v>
      </c>
      <c r="E717" s="2">
        <v>46076.0</v>
      </c>
      <c r="F717" s="1">
        <v>5382.0</v>
      </c>
    </row>
    <row r="718">
      <c r="A718" s="1" t="s">
        <v>742</v>
      </c>
      <c r="B718" s="1" t="s">
        <v>13</v>
      </c>
      <c r="C718" s="1" t="s">
        <v>14</v>
      </c>
      <c r="D718" s="2">
        <v>46075.0</v>
      </c>
      <c r="E718" s="2">
        <v>46081.0</v>
      </c>
      <c r="F718" s="1">
        <v>6512.0</v>
      </c>
    </row>
    <row r="719">
      <c r="A719" s="1" t="s">
        <v>743</v>
      </c>
      <c r="B719" s="1" t="s">
        <v>10</v>
      </c>
      <c r="C719" s="1" t="s">
        <v>16</v>
      </c>
      <c r="D719" s="2">
        <v>46082.0</v>
      </c>
      <c r="E719" s="2">
        <v>46087.0</v>
      </c>
      <c r="F719" s="1">
        <v>1463.0</v>
      </c>
    </row>
    <row r="720">
      <c r="A720" s="1" t="s">
        <v>744</v>
      </c>
      <c r="B720" s="1" t="s">
        <v>19</v>
      </c>
      <c r="C720" s="1" t="s">
        <v>16</v>
      </c>
      <c r="D720" s="2">
        <v>46042.0</v>
      </c>
      <c r="E720" s="2">
        <v>46044.0</v>
      </c>
      <c r="F720" s="1">
        <v>7651.0</v>
      </c>
    </row>
    <row r="721">
      <c r="A721" s="1" t="s">
        <v>745</v>
      </c>
      <c r="B721" s="1" t="s">
        <v>19</v>
      </c>
      <c r="C721" s="1" t="s">
        <v>14</v>
      </c>
      <c r="D721" s="2">
        <v>46059.0</v>
      </c>
      <c r="E721" s="2">
        <v>46064.0</v>
      </c>
      <c r="F721" s="1">
        <v>9064.0</v>
      </c>
    </row>
    <row r="722">
      <c r="A722" s="1" t="s">
        <v>746</v>
      </c>
      <c r="B722" s="1" t="s">
        <v>13</v>
      </c>
      <c r="C722" s="1" t="s">
        <v>14</v>
      </c>
      <c r="D722" s="2">
        <v>46059.0</v>
      </c>
      <c r="E722" s="2">
        <v>46066.0</v>
      </c>
      <c r="F722" s="1">
        <v>11233.0</v>
      </c>
    </row>
    <row r="723">
      <c r="A723" s="1" t="s">
        <v>747</v>
      </c>
      <c r="B723" s="1" t="s">
        <v>19</v>
      </c>
      <c r="C723" s="1" t="s">
        <v>14</v>
      </c>
      <c r="D723" s="2">
        <v>46066.0</v>
      </c>
      <c r="E723" s="2">
        <v>46070.0</v>
      </c>
      <c r="F723" s="1">
        <v>4110.0</v>
      </c>
    </row>
    <row r="724">
      <c r="A724" s="1" t="s">
        <v>748</v>
      </c>
      <c r="B724" s="1" t="s">
        <v>19</v>
      </c>
      <c r="C724" s="1" t="s">
        <v>16</v>
      </c>
      <c r="D724" s="2">
        <v>46044.0</v>
      </c>
      <c r="E724" s="2">
        <v>46046.0</v>
      </c>
      <c r="F724" s="1">
        <v>10384.0</v>
      </c>
    </row>
    <row r="725">
      <c r="A725" s="1" t="s">
        <v>749</v>
      </c>
      <c r="B725" s="1" t="s">
        <v>19</v>
      </c>
      <c r="C725" s="1" t="s">
        <v>16</v>
      </c>
      <c r="D725" s="2">
        <v>46071.0</v>
      </c>
      <c r="E725" s="2">
        <v>46074.0</v>
      </c>
      <c r="F725" s="1">
        <v>7394.0</v>
      </c>
    </row>
    <row r="726">
      <c r="A726" s="1" t="s">
        <v>750</v>
      </c>
      <c r="B726" s="1" t="s">
        <v>19</v>
      </c>
      <c r="C726" s="1" t="s">
        <v>14</v>
      </c>
      <c r="D726" s="2">
        <v>46031.0</v>
      </c>
      <c r="E726" s="2">
        <v>46035.0</v>
      </c>
      <c r="F726" s="1">
        <v>7811.0</v>
      </c>
    </row>
    <row r="727">
      <c r="A727" s="1" t="s">
        <v>751</v>
      </c>
      <c r="B727" s="1" t="s">
        <v>10</v>
      </c>
      <c r="C727" s="1" t="s">
        <v>11</v>
      </c>
      <c r="D727" s="2">
        <v>46067.0</v>
      </c>
      <c r="E727" s="2">
        <v>46075.0</v>
      </c>
      <c r="F727" s="1">
        <v>605.0</v>
      </c>
    </row>
    <row r="728">
      <c r="A728" s="1" t="s">
        <v>752</v>
      </c>
      <c r="B728" s="1" t="s">
        <v>10</v>
      </c>
      <c r="C728" s="1" t="s">
        <v>14</v>
      </c>
      <c r="D728" s="3">
        <v>46028.0</v>
      </c>
      <c r="E728" s="2">
        <v>46032.0</v>
      </c>
      <c r="F728" s="1">
        <v>6039.0</v>
      </c>
    </row>
    <row r="729">
      <c r="A729" s="1" t="s">
        <v>753</v>
      </c>
      <c r="B729" s="1" t="s">
        <v>10</v>
      </c>
      <c r="C729" s="1" t="s">
        <v>16</v>
      </c>
      <c r="D729" s="2">
        <v>46070.0</v>
      </c>
      <c r="E729" s="3">
        <v>46073.0</v>
      </c>
      <c r="F729" s="1">
        <v>10373.0</v>
      </c>
    </row>
    <row r="730">
      <c r="A730" s="1" t="s">
        <v>754</v>
      </c>
      <c r="B730" s="1" t="s">
        <v>10</v>
      </c>
      <c r="C730" s="1" t="s">
        <v>16</v>
      </c>
      <c r="D730" s="2">
        <v>46026.0</v>
      </c>
      <c r="E730" s="2">
        <v>46028.0</v>
      </c>
      <c r="F730" s="1">
        <v>11328.0</v>
      </c>
    </row>
    <row r="731">
      <c r="A731" s="1" t="s">
        <v>755</v>
      </c>
      <c r="B731" s="1" t="s">
        <v>10</v>
      </c>
      <c r="C731" s="1" t="s">
        <v>14</v>
      </c>
      <c r="D731" s="2">
        <v>46050.0</v>
      </c>
      <c r="E731" s="2">
        <v>46054.0</v>
      </c>
      <c r="F731" s="1">
        <v>7287.0</v>
      </c>
    </row>
    <row r="732">
      <c r="A732" s="1" t="s">
        <v>756</v>
      </c>
      <c r="B732" s="1" t="s">
        <v>13</v>
      </c>
      <c r="C732" s="1" t="s">
        <v>11</v>
      </c>
      <c r="D732" s="2">
        <v>46076.0</v>
      </c>
      <c r="E732" s="3">
        <v>46082.0</v>
      </c>
      <c r="F732" s="1">
        <v>2637.0</v>
      </c>
    </row>
    <row r="733">
      <c r="A733" s="1" t="s">
        <v>757</v>
      </c>
      <c r="B733" s="1" t="s">
        <v>19</v>
      </c>
      <c r="C733" s="1" t="s">
        <v>11</v>
      </c>
      <c r="D733" s="2">
        <v>46044.0</v>
      </c>
      <c r="E733" s="2">
        <v>46051.0</v>
      </c>
      <c r="F733" s="1">
        <v>4945.0</v>
      </c>
    </row>
    <row r="734">
      <c r="A734" s="1" t="s">
        <v>758</v>
      </c>
      <c r="B734" s="1" t="s">
        <v>13</v>
      </c>
      <c r="C734" s="1" t="s">
        <v>16</v>
      </c>
      <c r="D734" s="2">
        <v>46072.0</v>
      </c>
      <c r="E734" s="2">
        <v>46074.0</v>
      </c>
      <c r="F734" s="1">
        <v>4030.0</v>
      </c>
    </row>
    <row r="735">
      <c r="A735" s="1" t="s">
        <v>759</v>
      </c>
      <c r="B735" s="1" t="s">
        <v>19</v>
      </c>
      <c r="C735" s="1" t="s">
        <v>11</v>
      </c>
      <c r="D735" s="2">
        <v>46061.0</v>
      </c>
      <c r="E735" s="2">
        <v>46067.0</v>
      </c>
      <c r="F735" s="1">
        <v>1786.0</v>
      </c>
    </row>
    <row r="736">
      <c r="A736" s="1" t="s">
        <v>760</v>
      </c>
      <c r="B736" s="1" t="s">
        <v>19</v>
      </c>
      <c r="C736" s="1" t="s">
        <v>11</v>
      </c>
      <c r="D736" s="3">
        <v>46072.0</v>
      </c>
      <c r="E736" s="2">
        <v>46078.0</v>
      </c>
      <c r="F736" s="1">
        <v>11871.0</v>
      </c>
    </row>
    <row r="737">
      <c r="A737" s="1" t="s">
        <v>761</v>
      </c>
      <c r="B737" s="1" t="s">
        <v>19</v>
      </c>
      <c r="C737" s="1" t="s">
        <v>11</v>
      </c>
      <c r="D737" s="3">
        <v>46024.0</v>
      </c>
      <c r="E737" s="3">
        <v>46032.0</v>
      </c>
      <c r="F737" s="1">
        <v>7552.0</v>
      </c>
    </row>
    <row r="738">
      <c r="A738" s="1" t="s">
        <v>762</v>
      </c>
      <c r="B738" s="1" t="s">
        <v>13</v>
      </c>
      <c r="C738" s="1" t="s">
        <v>14</v>
      </c>
      <c r="D738" s="2">
        <v>46040.0</v>
      </c>
      <c r="E738" s="2">
        <v>46044.0</v>
      </c>
      <c r="F738" s="1">
        <v>4154.0</v>
      </c>
    </row>
    <row r="739">
      <c r="A739" s="1" t="s">
        <v>763</v>
      </c>
      <c r="B739" s="1" t="s">
        <v>19</v>
      </c>
      <c r="C739" s="1" t="s">
        <v>16</v>
      </c>
      <c r="D739" s="2">
        <v>46051.0</v>
      </c>
      <c r="E739" s="3">
        <v>46054.0</v>
      </c>
      <c r="F739" s="1">
        <v>7602.0</v>
      </c>
    </row>
    <row r="740">
      <c r="A740" s="1" t="s">
        <v>764</v>
      </c>
      <c r="B740" s="1" t="s">
        <v>19</v>
      </c>
      <c r="C740" s="1" t="s">
        <v>14</v>
      </c>
      <c r="D740" s="2">
        <v>46037.0</v>
      </c>
      <c r="F740" s="1">
        <v>2859.0</v>
      </c>
    </row>
    <row r="741">
      <c r="A741" s="1" t="s">
        <v>765</v>
      </c>
      <c r="B741" s="1" t="s">
        <v>10</v>
      </c>
      <c r="C741" s="1" t="s">
        <v>11</v>
      </c>
      <c r="D741" s="2">
        <v>46058.0</v>
      </c>
      <c r="E741" s="2">
        <v>46064.0</v>
      </c>
      <c r="F741" s="1">
        <v>8605.0</v>
      </c>
    </row>
    <row r="742">
      <c r="A742" s="1" t="s">
        <v>766</v>
      </c>
      <c r="B742" s="1" t="s">
        <v>10</v>
      </c>
      <c r="C742" s="1" t="s">
        <v>16</v>
      </c>
      <c r="D742" s="2">
        <v>46050.0</v>
      </c>
      <c r="E742" s="2">
        <v>46052.0</v>
      </c>
      <c r="F742" s="1">
        <v>9136.0</v>
      </c>
    </row>
    <row r="743">
      <c r="A743" s="1" t="s">
        <v>767</v>
      </c>
      <c r="B743" s="1" t="s">
        <v>19</v>
      </c>
      <c r="C743" s="1" t="s">
        <v>14</v>
      </c>
      <c r="D743" s="2">
        <v>46066.0</v>
      </c>
      <c r="E743" s="2">
        <v>46070.0</v>
      </c>
      <c r="F743" s="1">
        <v>6941.0</v>
      </c>
    </row>
    <row r="744">
      <c r="A744" s="1" t="s">
        <v>768</v>
      </c>
      <c r="B744" s="1" t="s">
        <v>10</v>
      </c>
      <c r="C744" s="1" t="s">
        <v>16</v>
      </c>
      <c r="D744" s="2">
        <v>46065.0</v>
      </c>
      <c r="E744" s="2">
        <v>46068.0</v>
      </c>
      <c r="F744" s="1">
        <v>5547.0</v>
      </c>
    </row>
    <row r="745">
      <c r="A745" s="1" t="s">
        <v>769</v>
      </c>
      <c r="B745" s="1" t="s">
        <v>13</v>
      </c>
      <c r="C745" s="1" t="s">
        <v>14</v>
      </c>
      <c r="D745" s="3">
        <v>46028.0</v>
      </c>
      <c r="E745" s="2">
        <v>46032.0</v>
      </c>
      <c r="F745" s="1">
        <v>8727.0</v>
      </c>
    </row>
    <row r="746">
      <c r="A746" s="1" t="s">
        <v>770</v>
      </c>
      <c r="B746" s="1" t="s">
        <v>19</v>
      </c>
      <c r="C746" s="1" t="s">
        <v>16</v>
      </c>
      <c r="D746" s="2">
        <v>46062.0</v>
      </c>
      <c r="E746" s="2">
        <v>46064.0</v>
      </c>
      <c r="F746" s="1">
        <v>5703.0</v>
      </c>
    </row>
    <row r="747">
      <c r="A747" s="1" t="s">
        <v>771</v>
      </c>
      <c r="B747" s="1" t="s">
        <v>13</v>
      </c>
      <c r="C747" s="1" t="s">
        <v>14</v>
      </c>
      <c r="D747" s="2">
        <v>46074.0</v>
      </c>
      <c r="E747" s="2">
        <v>46080.0</v>
      </c>
      <c r="F747" s="1">
        <v>10167.0</v>
      </c>
    </row>
    <row r="748">
      <c r="A748" s="1" t="s">
        <v>772</v>
      </c>
      <c r="B748" s="1" t="s">
        <v>10</v>
      </c>
      <c r="C748" s="1" t="s">
        <v>11</v>
      </c>
      <c r="D748" s="2">
        <v>46068.0</v>
      </c>
      <c r="E748" s="2">
        <v>46074.0</v>
      </c>
      <c r="F748" s="1">
        <v>2298.0</v>
      </c>
    </row>
    <row r="749">
      <c r="A749" s="1" t="s">
        <v>773</v>
      </c>
      <c r="B749" s="1" t="s">
        <v>10</v>
      </c>
      <c r="C749" s="1" t="s">
        <v>14</v>
      </c>
      <c r="D749" s="2">
        <v>46028.0</v>
      </c>
      <c r="E749" s="2">
        <v>46032.0</v>
      </c>
      <c r="F749" s="1">
        <v>10537.0</v>
      </c>
    </row>
    <row r="750">
      <c r="A750" s="1" t="s">
        <v>774</v>
      </c>
      <c r="B750" s="1" t="s">
        <v>13</v>
      </c>
      <c r="C750" s="1" t="s">
        <v>11</v>
      </c>
      <c r="D750" s="2">
        <v>46032.0</v>
      </c>
      <c r="E750" s="2">
        <v>46040.0</v>
      </c>
      <c r="F750" s="1">
        <v>10100.0</v>
      </c>
    </row>
    <row r="751">
      <c r="A751" s="1" t="s">
        <v>775</v>
      </c>
      <c r="B751" s="1" t="s">
        <v>19</v>
      </c>
      <c r="C751" s="1" t="s">
        <v>14</v>
      </c>
      <c r="D751" s="2">
        <v>46068.0</v>
      </c>
      <c r="E751" s="2">
        <v>46072.0</v>
      </c>
      <c r="F751" s="1">
        <v>5791.0</v>
      </c>
    </row>
    <row r="752">
      <c r="A752" s="1" t="s">
        <v>776</v>
      </c>
      <c r="B752" s="1" t="s">
        <v>10</v>
      </c>
      <c r="C752" s="1" t="s">
        <v>11</v>
      </c>
      <c r="D752" s="2">
        <v>46063.0</v>
      </c>
      <c r="E752" s="2">
        <v>46069.0</v>
      </c>
      <c r="F752" s="1">
        <v>5995.0</v>
      </c>
    </row>
    <row r="753">
      <c r="A753" s="1" t="s">
        <v>777</v>
      </c>
      <c r="B753" s="1" t="s">
        <v>10</v>
      </c>
      <c r="C753" s="1" t="s">
        <v>11</v>
      </c>
      <c r="D753" s="2">
        <v>46070.0</v>
      </c>
      <c r="F753" s="1">
        <v>10400.0</v>
      </c>
    </row>
    <row r="754">
      <c r="A754" s="1" t="s">
        <v>778</v>
      </c>
      <c r="B754" s="1" t="s">
        <v>10</v>
      </c>
      <c r="C754" s="1" t="s">
        <v>14</v>
      </c>
      <c r="D754" s="2">
        <v>46043.0</v>
      </c>
      <c r="E754" s="2">
        <v>46047.0</v>
      </c>
      <c r="F754" s="1">
        <v>11630.0</v>
      </c>
    </row>
    <row r="755">
      <c r="A755" s="1" t="s">
        <v>779</v>
      </c>
      <c r="B755" s="1" t="s">
        <v>13</v>
      </c>
      <c r="C755" s="1" t="s">
        <v>14</v>
      </c>
      <c r="D755" s="2">
        <v>46029.0</v>
      </c>
      <c r="E755" s="2">
        <v>46033.0</v>
      </c>
      <c r="F755" s="1">
        <v>6784.0</v>
      </c>
    </row>
    <row r="756">
      <c r="A756" s="1" t="s">
        <v>780</v>
      </c>
      <c r="B756" s="1" t="s">
        <v>13</v>
      </c>
      <c r="C756" s="1" t="s">
        <v>16</v>
      </c>
      <c r="D756" s="2">
        <v>46023.0</v>
      </c>
      <c r="E756" s="2">
        <v>46025.0</v>
      </c>
      <c r="F756" s="1">
        <v>7785.0</v>
      </c>
    </row>
    <row r="757">
      <c r="A757" s="1" t="s">
        <v>781</v>
      </c>
      <c r="B757" s="1" t="s">
        <v>10</v>
      </c>
      <c r="C757" s="1" t="s">
        <v>14</v>
      </c>
      <c r="D757" s="2">
        <v>46051.0</v>
      </c>
      <c r="E757" s="2">
        <v>46056.0</v>
      </c>
      <c r="F757" s="1">
        <v>1800.0</v>
      </c>
    </row>
    <row r="758">
      <c r="A758" s="1" t="s">
        <v>782</v>
      </c>
      <c r="B758" s="1" t="s">
        <v>19</v>
      </c>
      <c r="C758" s="1" t="s">
        <v>16</v>
      </c>
      <c r="D758" s="2">
        <v>46071.0</v>
      </c>
      <c r="E758" s="2">
        <v>46073.0</v>
      </c>
      <c r="F758" s="1">
        <v>7369.0</v>
      </c>
    </row>
    <row r="759">
      <c r="A759" s="1" t="s">
        <v>783</v>
      </c>
      <c r="B759" s="1" t="s">
        <v>13</v>
      </c>
      <c r="C759" s="1" t="s">
        <v>14</v>
      </c>
      <c r="D759" s="3">
        <v>46029.0</v>
      </c>
      <c r="E759" s="2">
        <v>46033.0</v>
      </c>
      <c r="F759" s="1">
        <v>9935.0</v>
      </c>
    </row>
    <row r="760">
      <c r="A760" s="1" t="s">
        <v>784</v>
      </c>
      <c r="B760" s="1" t="s">
        <v>19</v>
      </c>
      <c r="C760" s="1" t="s">
        <v>16</v>
      </c>
      <c r="D760" s="2">
        <v>46028.0</v>
      </c>
      <c r="E760" s="2">
        <v>46032.0</v>
      </c>
      <c r="F760" s="1">
        <v>3597.0</v>
      </c>
    </row>
    <row r="761">
      <c r="A761" s="1" t="s">
        <v>785</v>
      </c>
      <c r="B761" s="1" t="s">
        <v>13</v>
      </c>
      <c r="C761" s="1" t="s">
        <v>11</v>
      </c>
      <c r="D761" s="2">
        <v>46050.0</v>
      </c>
      <c r="E761" s="2">
        <v>46057.0</v>
      </c>
      <c r="F761" s="1">
        <v>5116.0</v>
      </c>
    </row>
    <row r="762">
      <c r="A762" s="1" t="s">
        <v>786</v>
      </c>
      <c r="B762" s="1" t="s">
        <v>13</v>
      </c>
      <c r="C762" s="1" t="s">
        <v>14</v>
      </c>
      <c r="D762" s="2">
        <v>46058.0</v>
      </c>
      <c r="E762" s="2">
        <v>46062.0</v>
      </c>
      <c r="F762" s="1">
        <v>509.0</v>
      </c>
    </row>
    <row r="763">
      <c r="A763" s="1" t="s">
        <v>787</v>
      </c>
      <c r="B763" s="1" t="s">
        <v>19</v>
      </c>
      <c r="C763" s="1" t="s">
        <v>11</v>
      </c>
      <c r="D763" s="2">
        <v>46055.0</v>
      </c>
      <c r="E763" s="3">
        <v>46061.0</v>
      </c>
      <c r="F763" s="1">
        <v>11117.0</v>
      </c>
    </row>
    <row r="764">
      <c r="A764" s="1" t="s">
        <v>788</v>
      </c>
      <c r="B764" s="1" t="s">
        <v>19</v>
      </c>
      <c r="C764" s="1" t="s">
        <v>14</v>
      </c>
      <c r="D764" s="2">
        <v>46029.0</v>
      </c>
      <c r="E764" s="3">
        <v>46033.0</v>
      </c>
      <c r="F764" s="1">
        <v>6252.0</v>
      </c>
    </row>
    <row r="765">
      <c r="A765" s="1" t="s">
        <v>789</v>
      </c>
      <c r="B765" s="1" t="s">
        <v>19</v>
      </c>
      <c r="C765" s="1" t="s">
        <v>16</v>
      </c>
      <c r="D765" s="2">
        <v>46028.0</v>
      </c>
      <c r="E765" s="2">
        <v>46031.0</v>
      </c>
      <c r="F765" s="1">
        <v>10352.0</v>
      </c>
    </row>
    <row r="766">
      <c r="A766" s="1" t="s">
        <v>790</v>
      </c>
      <c r="B766" s="1" t="s">
        <v>13</v>
      </c>
      <c r="C766" s="1" t="s">
        <v>14</v>
      </c>
      <c r="D766" s="2">
        <v>46058.0</v>
      </c>
      <c r="E766" s="2">
        <v>46062.0</v>
      </c>
      <c r="F766" s="1">
        <v>11323.0</v>
      </c>
    </row>
    <row r="767">
      <c r="A767" s="1" t="s">
        <v>791</v>
      </c>
      <c r="B767" s="1" t="s">
        <v>19</v>
      </c>
      <c r="C767" s="1" t="s">
        <v>16</v>
      </c>
      <c r="D767" s="2">
        <v>46061.0</v>
      </c>
      <c r="E767" s="2">
        <v>46063.0</v>
      </c>
      <c r="F767" s="1">
        <v>6795.0</v>
      </c>
    </row>
    <row r="768">
      <c r="A768" s="1" t="s">
        <v>792</v>
      </c>
      <c r="B768" s="1" t="s">
        <v>19</v>
      </c>
      <c r="C768" s="1" t="s">
        <v>16</v>
      </c>
      <c r="D768" s="2">
        <v>46073.0</v>
      </c>
      <c r="E768" s="2">
        <v>46076.0</v>
      </c>
      <c r="F768" s="1">
        <v>5315.0</v>
      </c>
    </row>
    <row r="769">
      <c r="A769" s="1" t="s">
        <v>793</v>
      </c>
      <c r="B769" s="1" t="s">
        <v>19</v>
      </c>
      <c r="C769" s="1" t="s">
        <v>14</v>
      </c>
      <c r="D769" s="2">
        <v>46078.0</v>
      </c>
      <c r="E769" s="2">
        <v>46084.0</v>
      </c>
      <c r="F769" s="1">
        <v>1572.0</v>
      </c>
    </row>
    <row r="770">
      <c r="A770" s="1" t="s">
        <v>794</v>
      </c>
      <c r="B770" s="1" t="s">
        <v>19</v>
      </c>
      <c r="C770" s="1" t="s">
        <v>11</v>
      </c>
      <c r="D770" s="2">
        <v>46023.0</v>
      </c>
      <c r="E770" s="2">
        <v>46029.0</v>
      </c>
      <c r="F770" s="1">
        <v>3725.0</v>
      </c>
    </row>
    <row r="771">
      <c r="A771" s="1" t="s">
        <v>795</v>
      </c>
      <c r="B771" s="1" t="s">
        <v>19</v>
      </c>
      <c r="C771" s="1" t="s">
        <v>14</v>
      </c>
      <c r="D771" s="2">
        <v>46049.0</v>
      </c>
      <c r="E771" s="2">
        <v>46055.0</v>
      </c>
      <c r="F771" s="1">
        <v>1816.0</v>
      </c>
    </row>
    <row r="772">
      <c r="A772" s="1" t="s">
        <v>796</v>
      </c>
      <c r="B772" s="1" t="s">
        <v>19</v>
      </c>
      <c r="C772" s="1" t="s">
        <v>11</v>
      </c>
      <c r="D772" s="2">
        <v>46072.0</v>
      </c>
      <c r="E772" s="2">
        <v>46078.0</v>
      </c>
      <c r="F772" s="1">
        <v>6199.0</v>
      </c>
    </row>
    <row r="773">
      <c r="A773" s="1" t="s">
        <v>797</v>
      </c>
      <c r="B773" s="1" t="s">
        <v>19</v>
      </c>
      <c r="C773" s="1" t="s">
        <v>16</v>
      </c>
      <c r="D773" s="2">
        <v>46069.0</v>
      </c>
      <c r="E773" s="2">
        <v>46073.0</v>
      </c>
      <c r="F773" s="1">
        <v>7307.0</v>
      </c>
    </row>
    <row r="774">
      <c r="A774" s="1" t="s">
        <v>798</v>
      </c>
      <c r="B774" s="1" t="s">
        <v>13</v>
      </c>
      <c r="C774" s="1" t="s">
        <v>14</v>
      </c>
      <c r="D774" s="3">
        <v>46080.0</v>
      </c>
      <c r="E774" s="2">
        <v>46084.0</v>
      </c>
      <c r="F774" s="1">
        <v>7174.0</v>
      </c>
    </row>
    <row r="775">
      <c r="A775" s="1" t="s">
        <v>799</v>
      </c>
      <c r="B775" s="1" t="s">
        <v>19</v>
      </c>
      <c r="C775" s="1" t="s">
        <v>14</v>
      </c>
      <c r="D775" s="3">
        <v>46059.0</v>
      </c>
      <c r="E775" s="2">
        <v>46063.0</v>
      </c>
      <c r="F775" s="1">
        <v>4183.0</v>
      </c>
    </row>
    <row r="776">
      <c r="A776" s="1" t="s">
        <v>800</v>
      </c>
      <c r="B776" s="1" t="s">
        <v>13</v>
      </c>
      <c r="C776" s="1" t="s">
        <v>11</v>
      </c>
      <c r="D776" s="2">
        <v>46033.0</v>
      </c>
      <c r="E776" s="2">
        <v>46040.0</v>
      </c>
      <c r="F776" s="1">
        <v>7727.0</v>
      </c>
    </row>
    <row r="777">
      <c r="A777" s="1" t="s">
        <v>801</v>
      </c>
      <c r="B777" s="1" t="s">
        <v>10</v>
      </c>
      <c r="C777" s="1" t="s">
        <v>14</v>
      </c>
      <c r="D777" s="2">
        <v>46047.0</v>
      </c>
      <c r="E777" s="2">
        <v>46051.0</v>
      </c>
      <c r="F777" s="1">
        <v>3773.0</v>
      </c>
    </row>
    <row r="778">
      <c r="A778" s="1" t="s">
        <v>802</v>
      </c>
      <c r="B778" s="1" t="s">
        <v>10</v>
      </c>
      <c r="C778" s="1" t="s">
        <v>16</v>
      </c>
      <c r="D778" s="2">
        <v>46031.0</v>
      </c>
      <c r="E778" s="2">
        <v>46033.0</v>
      </c>
      <c r="F778" s="1">
        <v>7500.0</v>
      </c>
    </row>
    <row r="779">
      <c r="A779" s="1" t="s">
        <v>803</v>
      </c>
      <c r="B779" s="1" t="s">
        <v>13</v>
      </c>
      <c r="C779" s="1" t="s">
        <v>14</v>
      </c>
      <c r="D779" s="2">
        <v>46042.0</v>
      </c>
      <c r="E779" s="2">
        <v>46047.0</v>
      </c>
      <c r="F779" s="1">
        <v>645.0</v>
      </c>
    </row>
    <row r="780">
      <c r="A780" s="1" t="s">
        <v>804</v>
      </c>
      <c r="B780" s="1" t="s">
        <v>19</v>
      </c>
      <c r="C780" s="1" t="s">
        <v>16</v>
      </c>
      <c r="D780" s="2">
        <v>46054.0</v>
      </c>
      <c r="E780" s="3">
        <v>46057.0</v>
      </c>
      <c r="F780" s="1">
        <v>5510.0</v>
      </c>
    </row>
    <row r="781">
      <c r="A781" s="1" t="s">
        <v>805</v>
      </c>
      <c r="B781" s="1" t="s">
        <v>13</v>
      </c>
      <c r="C781" s="1" t="s">
        <v>16</v>
      </c>
      <c r="D781" s="2">
        <v>46027.0</v>
      </c>
      <c r="E781" s="2">
        <v>46029.0</v>
      </c>
      <c r="F781" s="1">
        <v>3540.0</v>
      </c>
    </row>
    <row r="782">
      <c r="A782" s="1" t="s">
        <v>806</v>
      </c>
      <c r="B782" s="1" t="s">
        <v>10</v>
      </c>
      <c r="C782" s="1" t="s">
        <v>11</v>
      </c>
      <c r="D782" s="3">
        <v>46050.0</v>
      </c>
      <c r="E782" s="2">
        <v>46056.0</v>
      </c>
      <c r="F782" s="1">
        <v>10154.0</v>
      </c>
    </row>
    <row r="783">
      <c r="A783" s="1" t="s">
        <v>807</v>
      </c>
      <c r="B783" s="1" t="s">
        <v>13</v>
      </c>
      <c r="C783" s="1" t="s">
        <v>11</v>
      </c>
      <c r="D783" s="2">
        <v>46049.0</v>
      </c>
      <c r="E783" s="2">
        <v>46055.0</v>
      </c>
      <c r="F783" s="1">
        <v>10276.0</v>
      </c>
    </row>
    <row r="784">
      <c r="A784" s="1" t="s">
        <v>808</v>
      </c>
      <c r="B784" s="1" t="s">
        <v>10</v>
      </c>
      <c r="C784" s="1" t="s">
        <v>16</v>
      </c>
      <c r="D784" s="2">
        <v>46053.0</v>
      </c>
      <c r="E784" s="2">
        <v>46055.0</v>
      </c>
      <c r="F784" s="1">
        <v>982.0</v>
      </c>
    </row>
    <row r="785">
      <c r="A785" s="1" t="s">
        <v>809</v>
      </c>
      <c r="B785" s="1" t="s">
        <v>13</v>
      </c>
      <c r="C785" s="1" t="s">
        <v>11</v>
      </c>
      <c r="D785" s="2">
        <v>46027.0</v>
      </c>
      <c r="E785" s="2">
        <v>46033.0</v>
      </c>
      <c r="F785" s="1">
        <v>3679.0</v>
      </c>
    </row>
    <row r="786">
      <c r="A786" s="1" t="s">
        <v>810</v>
      </c>
      <c r="B786" s="1" t="s">
        <v>13</v>
      </c>
      <c r="C786" s="1" t="s">
        <v>11</v>
      </c>
      <c r="D786" s="2">
        <v>46039.0</v>
      </c>
      <c r="F786" s="1">
        <v>1749.0</v>
      </c>
    </row>
    <row r="787">
      <c r="A787" s="1" t="s">
        <v>811</v>
      </c>
      <c r="B787" s="1" t="s">
        <v>13</v>
      </c>
      <c r="C787" s="1" t="s">
        <v>16</v>
      </c>
      <c r="D787" s="2">
        <v>46069.0</v>
      </c>
      <c r="E787" s="3">
        <v>46073.0</v>
      </c>
      <c r="F787" s="1">
        <v>1130.0</v>
      </c>
    </row>
    <row r="788">
      <c r="A788" s="1" t="s">
        <v>812</v>
      </c>
      <c r="B788" s="1" t="s">
        <v>13</v>
      </c>
      <c r="C788" s="1" t="s">
        <v>14</v>
      </c>
      <c r="D788" s="2">
        <v>46054.0</v>
      </c>
      <c r="E788" s="2">
        <v>46058.0</v>
      </c>
      <c r="F788" s="1">
        <v>9353.0</v>
      </c>
    </row>
    <row r="789">
      <c r="A789" s="1" t="s">
        <v>813</v>
      </c>
      <c r="B789" s="1" t="s">
        <v>13</v>
      </c>
      <c r="C789" s="1" t="s">
        <v>14</v>
      </c>
      <c r="D789" s="2">
        <v>46062.0</v>
      </c>
      <c r="E789" s="2">
        <v>46066.0</v>
      </c>
      <c r="F789" s="1">
        <v>3352.0</v>
      </c>
    </row>
    <row r="790">
      <c r="A790" s="1" t="s">
        <v>814</v>
      </c>
      <c r="B790" s="1" t="s">
        <v>10</v>
      </c>
      <c r="C790" s="1" t="s">
        <v>11</v>
      </c>
      <c r="D790" s="2">
        <v>46052.0</v>
      </c>
      <c r="E790" s="2">
        <v>46058.0</v>
      </c>
      <c r="F790" s="1">
        <v>11158.0</v>
      </c>
    </row>
    <row r="791">
      <c r="A791" s="1" t="s">
        <v>815</v>
      </c>
      <c r="B791" s="1" t="s">
        <v>13</v>
      </c>
      <c r="C791" s="1" t="s">
        <v>11</v>
      </c>
      <c r="D791" s="2">
        <v>46031.0</v>
      </c>
      <c r="E791" s="2">
        <v>46040.0</v>
      </c>
      <c r="F791" s="1">
        <v>1487.0</v>
      </c>
    </row>
    <row r="792">
      <c r="A792" s="1" t="s">
        <v>816</v>
      </c>
      <c r="B792" s="1" t="s">
        <v>13</v>
      </c>
      <c r="C792" s="1" t="s">
        <v>16</v>
      </c>
      <c r="D792" s="2">
        <v>46023.0</v>
      </c>
      <c r="E792" s="2">
        <v>46025.0</v>
      </c>
      <c r="F792" s="1">
        <v>8122.0</v>
      </c>
    </row>
    <row r="793">
      <c r="A793" s="1" t="s">
        <v>817</v>
      </c>
      <c r="B793" s="1" t="s">
        <v>13</v>
      </c>
      <c r="C793" s="1" t="s">
        <v>16</v>
      </c>
      <c r="D793" s="2">
        <v>46044.0</v>
      </c>
      <c r="E793" s="2">
        <v>46046.0</v>
      </c>
      <c r="F793" s="1">
        <v>7827.0</v>
      </c>
    </row>
    <row r="794">
      <c r="A794" s="1" t="s">
        <v>818</v>
      </c>
      <c r="B794" s="1" t="s">
        <v>19</v>
      </c>
      <c r="C794" s="1" t="s">
        <v>16</v>
      </c>
      <c r="D794" s="2">
        <v>46047.0</v>
      </c>
      <c r="E794" s="2">
        <v>46049.0</v>
      </c>
      <c r="F794" s="1">
        <v>10238.0</v>
      </c>
    </row>
    <row r="795">
      <c r="A795" s="1" t="s">
        <v>819</v>
      </c>
      <c r="B795" s="1" t="s">
        <v>10</v>
      </c>
      <c r="C795" s="1" t="s">
        <v>16</v>
      </c>
      <c r="D795" s="3">
        <v>46078.0</v>
      </c>
      <c r="E795" s="2">
        <v>46080.0</v>
      </c>
      <c r="F795" s="1">
        <v>9341.0</v>
      </c>
    </row>
    <row r="796">
      <c r="A796" s="1" t="s">
        <v>820</v>
      </c>
      <c r="B796" s="1" t="s">
        <v>13</v>
      </c>
      <c r="C796" s="1" t="s">
        <v>14</v>
      </c>
      <c r="D796" s="2">
        <v>46051.0</v>
      </c>
      <c r="F796" s="1">
        <v>9660.0</v>
      </c>
    </row>
    <row r="797">
      <c r="A797" s="1" t="s">
        <v>821</v>
      </c>
      <c r="B797" s="1" t="s">
        <v>10</v>
      </c>
      <c r="C797" s="1" t="s">
        <v>16</v>
      </c>
      <c r="D797" s="2">
        <v>46050.0</v>
      </c>
      <c r="E797" s="2">
        <v>46054.0</v>
      </c>
      <c r="F797" s="1">
        <v>11329.0</v>
      </c>
    </row>
    <row r="798">
      <c r="A798" s="1" t="s">
        <v>822</v>
      </c>
      <c r="B798" s="1" t="s">
        <v>13</v>
      </c>
      <c r="C798" s="1" t="s">
        <v>16</v>
      </c>
      <c r="D798" s="2">
        <v>46061.0</v>
      </c>
      <c r="E798" s="2">
        <v>46066.0</v>
      </c>
      <c r="F798" s="1">
        <v>1600.0</v>
      </c>
    </row>
    <row r="799">
      <c r="A799" s="1" t="s">
        <v>823</v>
      </c>
      <c r="B799" s="1" t="s">
        <v>19</v>
      </c>
      <c r="C799" s="1" t="s">
        <v>11</v>
      </c>
      <c r="D799" s="2">
        <v>46042.0</v>
      </c>
      <c r="E799" s="2">
        <v>46048.0</v>
      </c>
      <c r="F799" s="1">
        <v>7152.0</v>
      </c>
    </row>
    <row r="800">
      <c r="A800" s="1" t="s">
        <v>824</v>
      </c>
      <c r="B800" s="1" t="s">
        <v>10</v>
      </c>
      <c r="C800" s="1" t="s">
        <v>16</v>
      </c>
      <c r="D800" s="2">
        <v>46061.0</v>
      </c>
      <c r="E800" s="2">
        <v>46063.0</v>
      </c>
      <c r="F800" s="1">
        <v>9132.0</v>
      </c>
    </row>
    <row r="801">
      <c r="A801" s="1" t="s">
        <v>825</v>
      </c>
      <c r="B801" s="1" t="s">
        <v>19</v>
      </c>
      <c r="C801" s="1" t="s">
        <v>11</v>
      </c>
      <c r="D801" s="3">
        <v>46035.0</v>
      </c>
      <c r="E801" s="2">
        <v>46044.0</v>
      </c>
      <c r="F801" s="1">
        <v>7921.0</v>
      </c>
    </row>
    <row r="802">
      <c r="A802" s="1" t="s">
        <v>826</v>
      </c>
      <c r="B802" s="1" t="s">
        <v>19</v>
      </c>
      <c r="C802" s="1" t="s">
        <v>16</v>
      </c>
      <c r="D802" s="2">
        <v>46043.0</v>
      </c>
      <c r="E802" s="3">
        <v>46046.0</v>
      </c>
      <c r="F802" s="1">
        <v>5516.0</v>
      </c>
    </row>
    <row r="803">
      <c r="A803" s="1" t="s">
        <v>827</v>
      </c>
      <c r="B803" s="1" t="s">
        <v>13</v>
      </c>
      <c r="C803" s="1" t="s">
        <v>16</v>
      </c>
      <c r="D803" s="3">
        <v>46048.0</v>
      </c>
      <c r="E803" s="2">
        <v>46050.0</v>
      </c>
      <c r="F803" s="1">
        <v>1269.0</v>
      </c>
    </row>
    <row r="804">
      <c r="A804" s="1" t="s">
        <v>828</v>
      </c>
      <c r="B804" s="1" t="s">
        <v>10</v>
      </c>
      <c r="C804" s="1" t="s">
        <v>11</v>
      </c>
      <c r="D804" s="2">
        <v>46041.0</v>
      </c>
      <c r="E804" s="2">
        <v>46047.0</v>
      </c>
      <c r="F804" s="1">
        <v>1843.0</v>
      </c>
    </row>
    <row r="805">
      <c r="A805" s="1" t="s">
        <v>829</v>
      </c>
      <c r="B805" s="1" t="s">
        <v>10</v>
      </c>
      <c r="C805" s="1" t="s">
        <v>14</v>
      </c>
      <c r="D805" s="2">
        <v>46067.0</v>
      </c>
      <c r="E805" s="2">
        <v>46071.0</v>
      </c>
      <c r="F805" s="1">
        <v>4858.0</v>
      </c>
    </row>
    <row r="806">
      <c r="A806" s="1" t="s">
        <v>830</v>
      </c>
      <c r="B806" s="1" t="s">
        <v>10</v>
      </c>
      <c r="C806" s="1" t="s">
        <v>14</v>
      </c>
      <c r="D806" s="2">
        <v>46054.0</v>
      </c>
      <c r="E806" s="2">
        <v>46058.0</v>
      </c>
      <c r="F806" s="1">
        <v>10269.0</v>
      </c>
    </row>
    <row r="807">
      <c r="A807" s="1" t="s">
        <v>831</v>
      </c>
      <c r="B807" s="1" t="s">
        <v>10</v>
      </c>
      <c r="C807" s="1" t="s">
        <v>11</v>
      </c>
      <c r="D807" s="2">
        <v>46073.0</v>
      </c>
      <c r="E807" s="3">
        <v>46080.0</v>
      </c>
      <c r="F807" s="1">
        <v>7280.0</v>
      </c>
    </row>
    <row r="808">
      <c r="A808" s="1" t="s">
        <v>832</v>
      </c>
      <c r="B808" s="1" t="s">
        <v>13</v>
      </c>
      <c r="C808" s="1" t="s">
        <v>11</v>
      </c>
      <c r="D808" s="2">
        <v>46043.0</v>
      </c>
      <c r="E808" s="2">
        <v>46052.0</v>
      </c>
      <c r="F808" s="1">
        <v>7102.0</v>
      </c>
    </row>
    <row r="809">
      <c r="A809" s="1" t="s">
        <v>833</v>
      </c>
      <c r="B809" s="1" t="s">
        <v>13</v>
      </c>
      <c r="C809" s="1" t="s">
        <v>14</v>
      </c>
      <c r="D809" s="2">
        <v>46040.0</v>
      </c>
      <c r="E809" s="3">
        <v>46047.0</v>
      </c>
      <c r="F809" s="1">
        <v>2849.0</v>
      </c>
    </row>
    <row r="810">
      <c r="A810" s="1" t="s">
        <v>834</v>
      </c>
      <c r="B810" s="1" t="s">
        <v>19</v>
      </c>
      <c r="C810" s="1" t="s">
        <v>11</v>
      </c>
      <c r="D810" s="2">
        <v>46048.0</v>
      </c>
      <c r="E810" s="3">
        <v>46054.0</v>
      </c>
      <c r="F810" s="1">
        <v>6199.0</v>
      </c>
    </row>
    <row r="811">
      <c r="A811" s="1" t="s">
        <v>835</v>
      </c>
      <c r="B811" s="1" t="s">
        <v>13</v>
      </c>
      <c r="C811" s="1" t="s">
        <v>11</v>
      </c>
      <c r="D811" s="2">
        <v>46030.0</v>
      </c>
      <c r="E811" s="2">
        <v>46036.0</v>
      </c>
      <c r="F811" s="1">
        <v>1741.0</v>
      </c>
    </row>
    <row r="812">
      <c r="A812" s="1" t="s">
        <v>836</v>
      </c>
      <c r="B812" s="1" t="s">
        <v>10</v>
      </c>
      <c r="C812" s="1" t="s">
        <v>11</v>
      </c>
      <c r="D812" s="2">
        <v>46035.0</v>
      </c>
      <c r="E812" s="2">
        <v>46046.0</v>
      </c>
      <c r="F812" s="1">
        <v>1625.0</v>
      </c>
    </row>
    <row r="813">
      <c r="A813" s="1" t="s">
        <v>837</v>
      </c>
      <c r="B813" s="1" t="s">
        <v>13</v>
      </c>
      <c r="C813" s="1" t="s">
        <v>11</v>
      </c>
      <c r="D813" s="2">
        <v>46057.0</v>
      </c>
      <c r="E813" s="3">
        <v>46065.0</v>
      </c>
      <c r="F813" s="1">
        <v>11293.0</v>
      </c>
    </row>
    <row r="814">
      <c r="A814" s="1" t="s">
        <v>838</v>
      </c>
      <c r="B814" s="1" t="s">
        <v>19</v>
      </c>
      <c r="C814" s="1" t="s">
        <v>11</v>
      </c>
      <c r="D814" s="2">
        <v>46066.0</v>
      </c>
      <c r="E814" s="2">
        <v>46072.0</v>
      </c>
      <c r="F814" s="1">
        <v>9882.0</v>
      </c>
    </row>
    <row r="815">
      <c r="A815" s="1" t="s">
        <v>839</v>
      </c>
      <c r="B815" s="1" t="s">
        <v>10</v>
      </c>
      <c r="C815" s="1" t="s">
        <v>14</v>
      </c>
      <c r="D815" s="2">
        <v>46058.0</v>
      </c>
      <c r="E815" s="2">
        <v>46065.0</v>
      </c>
      <c r="F815" s="1">
        <v>7264.0</v>
      </c>
    </row>
    <row r="816">
      <c r="A816" s="1" t="s">
        <v>840</v>
      </c>
      <c r="B816" s="1" t="s">
        <v>10</v>
      </c>
      <c r="C816" s="1" t="s">
        <v>11</v>
      </c>
      <c r="D816" s="3">
        <v>46083.0</v>
      </c>
      <c r="E816" s="3">
        <v>46091.0</v>
      </c>
      <c r="F816" s="1">
        <v>5601.0</v>
      </c>
    </row>
    <row r="817">
      <c r="A817" s="1" t="s">
        <v>841</v>
      </c>
      <c r="B817" s="1" t="s">
        <v>19</v>
      </c>
      <c r="C817" s="1" t="s">
        <v>14</v>
      </c>
      <c r="D817" s="2">
        <v>46052.0</v>
      </c>
      <c r="E817" s="2">
        <v>46056.0</v>
      </c>
      <c r="F817" s="1">
        <v>8343.0</v>
      </c>
    </row>
    <row r="818">
      <c r="A818" s="1" t="s">
        <v>842</v>
      </c>
      <c r="B818" s="1" t="s">
        <v>19</v>
      </c>
      <c r="C818" s="1" t="s">
        <v>16</v>
      </c>
      <c r="D818" s="2">
        <v>46036.0</v>
      </c>
      <c r="E818" s="2">
        <v>46038.0</v>
      </c>
      <c r="F818" s="1">
        <v>572.0</v>
      </c>
    </row>
    <row r="819">
      <c r="A819" s="1" t="s">
        <v>843</v>
      </c>
      <c r="B819" s="1" t="s">
        <v>10</v>
      </c>
      <c r="C819" s="1" t="s">
        <v>14</v>
      </c>
      <c r="D819" s="2">
        <v>46074.0</v>
      </c>
      <c r="E819" s="2">
        <v>46078.0</v>
      </c>
      <c r="F819" s="1">
        <v>5972.0</v>
      </c>
    </row>
    <row r="820">
      <c r="A820" s="1" t="s">
        <v>844</v>
      </c>
      <c r="B820" s="1" t="s">
        <v>13</v>
      </c>
      <c r="C820" s="1" t="s">
        <v>16</v>
      </c>
      <c r="D820" s="2">
        <v>46076.0</v>
      </c>
      <c r="E820" s="2">
        <v>46078.0</v>
      </c>
      <c r="F820" s="1">
        <v>10606.0</v>
      </c>
    </row>
    <row r="821">
      <c r="A821" s="1" t="s">
        <v>845</v>
      </c>
      <c r="B821" s="1" t="s">
        <v>13</v>
      </c>
      <c r="C821" s="1" t="s">
        <v>14</v>
      </c>
      <c r="D821" s="2">
        <v>46027.0</v>
      </c>
      <c r="E821" s="2">
        <v>46031.0</v>
      </c>
      <c r="F821" s="1">
        <v>5689.0</v>
      </c>
    </row>
    <row r="822">
      <c r="A822" s="1" t="s">
        <v>846</v>
      </c>
      <c r="B822" s="1" t="s">
        <v>10</v>
      </c>
      <c r="C822" s="1" t="s">
        <v>14</v>
      </c>
      <c r="D822" s="2">
        <v>46073.0</v>
      </c>
      <c r="E822" s="2">
        <v>46078.0</v>
      </c>
      <c r="F822" s="1">
        <v>2972.0</v>
      </c>
    </row>
    <row r="823">
      <c r="A823" s="1" t="s">
        <v>847</v>
      </c>
      <c r="B823" s="1" t="s">
        <v>10</v>
      </c>
      <c r="C823" s="1" t="s">
        <v>11</v>
      </c>
      <c r="D823" s="3">
        <v>46066.0</v>
      </c>
      <c r="E823" s="2">
        <v>46072.0</v>
      </c>
      <c r="F823" s="1">
        <v>11738.0</v>
      </c>
    </row>
    <row r="824">
      <c r="A824" s="1" t="s">
        <v>848</v>
      </c>
      <c r="B824" s="1" t="s">
        <v>10</v>
      </c>
      <c r="C824" s="1" t="s">
        <v>14</v>
      </c>
      <c r="D824" s="2">
        <v>46031.0</v>
      </c>
      <c r="E824" s="2">
        <v>46035.0</v>
      </c>
      <c r="F824" s="1">
        <v>1207.0</v>
      </c>
    </row>
    <row r="825">
      <c r="A825" s="1" t="s">
        <v>849</v>
      </c>
      <c r="B825" s="1" t="s">
        <v>13</v>
      </c>
      <c r="C825" s="1" t="s">
        <v>14</v>
      </c>
      <c r="D825" s="2">
        <v>46042.0</v>
      </c>
      <c r="E825" s="3">
        <v>46046.0</v>
      </c>
      <c r="F825" s="1">
        <v>2304.0</v>
      </c>
    </row>
    <row r="826">
      <c r="A826" s="1" t="s">
        <v>850</v>
      </c>
      <c r="B826" s="1" t="s">
        <v>13</v>
      </c>
      <c r="C826" s="1" t="s">
        <v>11</v>
      </c>
      <c r="D826" s="2">
        <v>46039.0</v>
      </c>
      <c r="E826" s="2">
        <v>46045.0</v>
      </c>
      <c r="F826" s="1">
        <v>7204.0</v>
      </c>
    </row>
    <row r="827">
      <c r="A827" s="1" t="s">
        <v>851</v>
      </c>
      <c r="B827" s="1" t="s">
        <v>10</v>
      </c>
      <c r="C827" s="1" t="s">
        <v>16</v>
      </c>
      <c r="D827" s="2">
        <v>46032.0</v>
      </c>
      <c r="E827" s="3">
        <v>46036.0</v>
      </c>
      <c r="F827" s="1">
        <v>4213.0</v>
      </c>
    </row>
    <row r="828">
      <c r="A828" s="1" t="s">
        <v>852</v>
      </c>
      <c r="B828" s="1" t="s">
        <v>19</v>
      </c>
      <c r="C828" s="1" t="s">
        <v>14</v>
      </c>
      <c r="D828" s="2">
        <v>46050.0</v>
      </c>
      <c r="E828" s="2">
        <v>46054.0</v>
      </c>
      <c r="F828" s="1">
        <v>5551.0</v>
      </c>
    </row>
    <row r="829">
      <c r="A829" s="1" t="s">
        <v>853</v>
      </c>
      <c r="B829" s="1" t="s">
        <v>10</v>
      </c>
      <c r="C829" s="1" t="s">
        <v>11</v>
      </c>
      <c r="D829" s="3">
        <v>46047.0</v>
      </c>
      <c r="E829" s="2">
        <v>46053.0</v>
      </c>
      <c r="F829" s="1">
        <v>11256.0</v>
      </c>
    </row>
    <row r="830">
      <c r="A830" s="1" t="s">
        <v>854</v>
      </c>
      <c r="B830" s="1" t="s">
        <v>10</v>
      </c>
      <c r="C830" s="1" t="s">
        <v>16</v>
      </c>
      <c r="D830" s="2">
        <v>46051.0</v>
      </c>
      <c r="E830" s="2">
        <v>46054.0</v>
      </c>
      <c r="F830" s="1">
        <v>2975.0</v>
      </c>
    </row>
    <row r="831">
      <c r="A831" s="1" t="s">
        <v>855</v>
      </c>
      <c r="B831" s="1" t="s">
        <v>13</v>
      </c>
      <c r="C831" s="1" t="s">
        <v>14</v>
      </c>
      <c r="D831" s="2">
        <v>46053.0</v>
      </c>
      <c r="E831" s="2">
        <v>46057.0</v>
      </c>
      <c r="F831" s="1">
        <v>4110.0</v>
      </c>
    </row>
    <row r="832">
      <c r="A832" s="1" t="s">
        <v>856</v>
      </c>
      <c r="B832" s="1" t="s">
        <v>10</v>
      </c>
      <c r="C832" s="1" t="s">
        <v>14</v>
      </c>
      <c r="D832" s="3">
        <v>46048.0</v>
      </c>
      <c r="E832" s="2">
        <v>46052.0</v>
      </c>
      <c r="F832" s="1">
        <v>4755.0</v>
      </c>
    </row>
    <row r="833">
      <c r="A833" s="1" t="s">
        <v>857</v>
      </c>
      <c r="B833" s="1" t="s">
        <v>13</v>
      </c>
      <c r="C833" s="1" t="s">
        <v>14</v>
      </c>
      <c r="D833" s="2">
        <v>46055.0</v>
      </c>
      <c r="E833" s="2">
        <v>46059.0</v>
      </c>
      <c r="F833" s="1">
        <v>11515.0</v>
      </c>
    </row>
    <row r="834">
      <c r="A834" s="1" t="s">
        <v>858</v>
      </c>
      <c r="B834" s="1" t="s">
        <v>19</v>
      </c>
      <c r="C834" s="1" t="s">
        <v>16</v>
      </c>
      <c r="D834" s="2">
        <v>46049.0</v>
      </c>
      <c r="E834" s="2">
        <v>46051.0</v>
      </c>
      <c r="F834" s="1">
        <v>7897.0</v>
      </c>
    </row>
    <row r="835">
      <c r="A835" s="1" t="s">
        <v>859</v>
      </c>
      <c r="B835" s="1" t="s">
        <v>10</v>
      </c>
      <c r="C835" s="1" t="s">
        <v>16</v>
      </c>
      <c r="D835" s="2">
        <v>46025.0</v>
      </c>
      <c r="E835" s="2">
        <v>46027.0</v>
      </c>
      <c r="F835" s="1">
        <v>2235.0</v>
      </c>
    </row>
    <row r="836">
      <c r="A836" s="1" t="s">
        <v>860</v>
      </c>
      <c r="B836" s="1" t="s">
        <v>19</v>
      </c>
      <c r="C836" s="1" t="s">
        <v>14</v>
      </c>
      <c r="D836" s="2">
        <v>46046.0</v>
      </c>
      <c r="E836" s="2">
        <v>46050.0</v>
      </c>
      <c r="F836" s="1">
        <v>10277.0</v>
      </c>
    </row>
    <row r="837">
      <c r="A837" s="1" t="s">
        <v>861</v>
      </c>
      <c r="B837" s="1" t="s">
        <v>10</v>
      </c>
      <c r="C837" s="1" t="s">
        <v>14</v>
      </c>
      <c r="D837" s="2">
        <v>46080.0</v>
      </c>
      <c r="E837" s="2">
        <v>46084.0</v>
      </c>
      <c r="F837" s="1">
        <v>8758.0</v>
      </c>
    </row>
    <row r="838">
      <c r="A838" s="1" t="s">
        <v>862</v>
      </c>
      <c r="B838" s="1" t="s">
        <v>19</v>
      </c>
      <c r="C838" s="1" t="s">
        <v>16</v>
      </c>
      <c r="D838" s="2">
        <v>46057.0</v>
      </c>
      <c r="E838" s="2">
        <v>46061.0</v>
      </c>
      <c r="F838" s="1">
        <v>11753.0</v>
      </c>
    </row>
    <row r="839">
      <c r="A839" s="1" t="s">
        <v>863</v>
      </c>
      <c r="B839" s="1" t="s">
        <v>13</v>
      </c>
      <c r="C839" s="1" t="s">
        <v>11</v>
      </c>
      <c r="D839" s="2">
        <v>46063.0</v>
      </c>
      <c r="E839" s="2">
        <v>46069.0</v>
      </c>
      <c r="F839" s="1">
        <v>8479.0</v>
      </c>
    </row>
    <row r="840">
      <c r="A840" s="1" t="s">
        <v>864</v>
      </c>
      <c r="B840" s="1" t="s">
        <v>10</v>
      </c>
      <c r="C840" s="1" t="s">
        <v>16</v>
      </c>
      <c r="D840" s="2">
        <v>46029.0</v>
      </c>
      <c r="F840" s="1">
        <v>2928.0</v>
      </c>
    </row>
    <row r="841">
      <c r="A841" s="1" t="s">
        <v>865</v>
      </c>
      <c r="B841" s="1" t="s">
        <v>10</v>
      </c>
      <c r="C841" s="1" t="s">
        <v>11</v>
      </c>
      <c r="D841" s="3">
        <v>46038.0</v>
      </c>
      <c r="E841" s="2">
        <v>46044.0</v>
      </c>
      <c r="F841" s="1">
        <v>7926.0</v>
      </c>
    </row>
    <row r="842">
      <c r="A842" s="1" t="s">
        <v>866</v>
      </c>
      <c r="B842" s="1" t="s">
        <v>19</v>
      </c>
      <c r="C842" s="1" t="s">
        <v>11</v>
      </c>
      <c r="D842" s="2">
        <v>46065.0</v>
      </c>
      <c r="E842" s="2">
        <v>46071.0</v>
      </c>
      <c r="F842" s="1">
        <v>9033.0</v>
      </c>
    </row>
    <row r="843">
      <c r="A843" s="1" t="s">
        <v>867</v>
      </c>
      <c r="B843" s="1" t="s">
        <v>13</v>
      </c>
      <c r="C843" s="1" t="s">
        <v>11</v>
      </c>
      <c r="D843" s="2">
        <v>46033.0</v>
      </c>
      <c r="E843" s="2">
        <v>46039.0</v>
      </c>
      <c r="F843" s="1">
        <v>5749.0</v>
      </c>
    </row>
    <row r="844">
      <c r="A844" s="1" t="s">
        <v>868</v>
      </c>
      <c r="B844" s="1" t="s">
        <v>19</v>
      </c>
      <c r="C844" s="1" t="s">
        <v>14</v>
      </c>
      <c r="D844" s="2">
        <v>46062.0</v>
      </c>
      <c r="E844" s="2">
        <v>46066.0</v>
      </c>
      <c r="F844" s="1">
        <v>11466.0</v>
      </c>
    </row>
    <row r="845">
      <c r="A845" s="1" t="s">
        <v>869</v>
      </c>
      <c r="B845" s="1" t="s">
        <v>19</v>
      </c>
      <c r="C845" s="1" t="s">
        <v>14</v>
      </c>
      <c r="D845" s="2">
        <v>46059.0</v>
      </c>
      <c r="E845" s="2">
        <v>46066.0</v>
      </c>
      <c r="F845" s="1">
        <v>5791.0</v>
      </c>
    </row>
    <row r="846">
      <c r="A846" s="1" t="s">
        <v>870</v>
      </c>
      <c r="B846" s="1" t="s">
        <v>13</v>
      </c>
      <c r="C846" s="1" t="s">
        <v>11</v>
      </c>
      <c r="D846" s="2">
        <v>46066.0</v>
      </c>
      <c r="E846" s="2">
        <v>46072.0</v>
      </c>
      <c r="F846" s="1">
        <v>3317.0</v>
      </c>
    </row>
    <row r="847">
      <c r="A847" s="1" t="s">
        <v>871</v>
      </c>
      <c r="B847" s="1" t="s">
        <v>19</v>
      </c>
      <c r="C847" s="1" t="s">
        <v>11</v>
      </c>
      <c r="D847" s="2">
        <v>46048.0</v>
      </c>
      <c r="E847" s="2">
        <v>46054.0</v>
      </c>
      <c r="F847" s="1">
        <v>11353.0</v>
      </c>
    </row>
    <row r="848">
      <c r="A848" s="1" t="s">
        <v>872</v>
      </c>
      <c r="B848" s="1" t="s">
        <v>19</v>
      </c>
      <c r="C848" s="1" t="s">
        <v>11</v>
      </c>
      <c r="D848" s="2">
        <v>46044.0</v>
      </c>
      <c r="E848" s="2">
        <v>46050.0</v>
      </c>
      <c r="F848" s="1">
        <v>9924.0</v>
      </c>
    </row>
    <row r="849">
      <c r="A849" s="1" t="s">
        <v>873</v>
      </c>
      <c r="B849" s="1" t="s">
        <v>10</v>
      </c>
      <c r="C849" s="1" t="s">
        <v>16</v>
      </c>
      <c r="D849" s="2">
        <v>46050.0</v>
      </c>
      <c r="E849" s="2">
        <v>46057.0</v>
      </c>
      <c r="F849" s="1">
        <v>4374.0</v>
      </c>
    </row>
    <row r="850">
      <c r="A850" s="1" t="s">
        <v>874</v>
      </c>
      <c r="B850" s="1" t="s">
        <v>19</v>
      </c>
      <c r="C850" s="1" t="s">
        <v>14</v>
      </c>
      <c r="D850" s="2">
        <v>46023.0</v>
      </c>
      <c r="E850" s="2">
        <v>46027.0</v>
      </c>
      <c r="F850" s="1">
        <v>11093.0</v>
      </c>
    </row>
    <row r="851">
      <c r="A851" s="1" t="s">
        <v>875</v>
      </c>
      <c r="B851" s="1" t="s">
        <v>10</v>
      </c>
      <c r="C851" s="1" t="s">
        <v>11</v>
      </c>
      <c r="D851" s="2">
        <v>46039.0</v>
      </c>
      <c r="E851" s="2">
        <v>46045.0</v>
      </c>
      <c r="F851" s="1">
        <v>10186.0</v>
      </c>
    </row>
    <row r="852">
      <c r="A852" s="1" t="s">
        <v>876</v>
      </c>
      <c r="B852" s="1" t="s">
        <v>13</v>
      </c>
      <c r="C852" s="1" t="s">
        <v>11</v>
      </c>
      <c r="D852" s="2">
        <v>46055.0</v>
      </c>
      <c r="E852" s="2">
        <v>46061.0</v>
      </c>
      <c r="F852" s="1">
        <v>4711.0</v>
      </c>
    </row>
    <row r="853">
      <c r="A853" s="1" t="s">
        <v>877</v>
      </c>
      <c r="B853" s="1" t="s">
        <v>19</v>
      </c>
      <c r="C853" s="1" t="s">
        <v>16</v>
      </c>
      <c r="D853" s="2">
        <v>46056.0</v>
      </c>
      <c r="E853" s="3">
        <v>46059.0</v>
      </c>
      <c r="F853" s="1">
        <v>1161.0</v>
      </c>
    </row>
    <row r="854">
      <c r="A854" s="1" t="s">
        <v>878</v>
      </c>
      <c r="B854" s="1" t="s">
        <v>13</v>
      </c>
      <c r="C854" s="1" t="s">
        <v>14</v>
      </c>
      <c r="D854" s="2">
        <v>46060.0</v>
      </c>
      <c r="E854" s="2">
        <v>46064.0</v>
      </c>
      <c r="F854" s="1">
        <v>10560.0</v>
      </c>
    </row>
    <row r="855">
      <c r="A855" s="1" t="s">
        <v>879</v>
      </c>
      <c r="B855" s="1" t="s">
        <v>10</v>
      </c>
      <c r="C855" s="1" t="s">
        <v>11</v>
      </c>
      <c r="D855" s="2">
        <v>46059.0</v>
      </c>
      <c r="E855" s="2">
        <v>46067.0</v>
      </c>
      <c r="F855" s="1">
        <v>11026.0</v>
      </c>
    </row>
    <row r="856">
      <c r="A856" s="1" t="s">
        <v>880</v>
      </c>
      <c r="B856" s="1" t="s">
        <v>10</v>
      </c>
      <c r="C856" s="1" t="s">
        <v>14</v>
      </c>
      <c r="D856" s="2">
        <v>46051.0</v>
      </c>
      <c r="E856" s="2">
        <v>46055.0</v>
      </c>
      <c r="F856" s="1">
        <v>3874.0</v>
      </c>
    </row>
    <row r="857">
      <c r="A857" s="1" t="s">
        <v>881</v>
      </c>
      <c r="B857" s="1" t="s">
        <v>10</v>
      </c>
      <c r="C857" s="1" t="s">
        <v>11</v>
      </c>
      <c r="D857" s="2">
        <v>46048.0</v>
      </c>
      <c r="F857" s="1">
        <v>9708.0</v>
      </c>
    </row>
    <row r="858">
      <c r="A858" s="1" t="s">
        <v>882</v>
      </c>
      <c r="B858" s="1" t="s">
        <v>19</v>
      </c>
      <c r="C858" s="1" t="s">
        <v>16</v>
      </c>
      <c r="D858" s="2">
        <v>46072.0</v>
      </c>
      <c r="E858" s="3">
        <v>46074.0</v>
      </c>
      <c r="F858" s="1">
        <v>707.0</v>
      </c>
    </row>
    <row r="859">
      <c r="A859" s="1" t="s">
        <v>883</v>
      </c>
      <c r="B859" s="1" t="s">
        <v>10</v>
      </c>
      <c r="C859" s="1" t="s">
        <v>16</v>
      </c>
      <c r="D859" s="2">
        <v>46060.0</v>
      </c>
      <c r="E859" s="2">
        <v>46062.0</v>
      </c>
      <c r="F859" s="1">
        <v>3165.0</v>
      </c>
    </row>
    <row r="860">
      <c r="A860" s="1" t="s">
        <v>884</v>
      </c>
      <c r="B860" s="1" t="s">
        <v>10</v>
      </c>
      <c r="C860" s="1" t="s">
        <v>14</v>
      </c>
      <c r="D860" s="2">
        <v>46055.0</v>
      </c>
      <c r="E860" s="2">
        <v>46059.0</v>
      </c>
      <c r="F860" s="1">
        <v>2993.0</v>
      </c>
    </row>
    <row r="861">
      <c r="A861" s="1" t="s">
        <v>885</v>
      </c>
      <c r="B861" s="1" t="s">
        <v>19</v>
      </c>
      <c r="C861" s="1" t="s">
        <v>16</v>
      </c>
      <c r="D861" s="2">
        <v>46045.0</v>
      </c>
      <c r="E861" s="2">
        <v>46047.0</v>
      </c>
      <c r="F861" s="1">
        <v>7313.0</v>
      </c>
    </row>
    <row r="862">
      <c r="A862" s="1" t="s">
        <v>886</v>
      </c>
      <c r="B862" s="1" t="s">
        <v>19</v>
      </c>
      <c r="C862" s="1" t="s">
        <v>14</v>
      </c>
      <c r="D862" s="3">
        <v>46053.0</v>
      </c>
      <c r="E862" s="3">
        <v>46058.0</v>
      </c>
      <c r="F862" s="1">
        <v>1132.0</v>
      </c>
    </row>
    <row r="863">
      <c r="A863" s="1" t="s">
        <v>887</v>
      </c>
      <c r="B863" s="1" t="s">
        <v>19</v>
      </c>
      <c r="C863" s="1" t="s">
        <v>11</v>
      </c>
      <c r="D863" s="2">
        <v>46041.0</v>
      </c>
      <c r="E863" s="2">
        <v>46047.0</v>
      </c>
      <c r="F863" s="1">
        <v>10794.0</v>
      </c>
    </row>
    <row r="864">
      <c r="A864" s="1" t="s">
        <v>888</v>
      </c>
      <c r="B864" s="1" t="s">
        <v>10</v>
      </c>
      <c r="C864" s="1" t="s">
        <v>16</v>
      </c>
      <c r="D864" s="2">
        <v>46081.0</v>
      </c>
      <c r="E864" s="2">
        <v>46083.0</v>
      </c>
      <c r="F864" s="1">
        <v>11651.0</v>
      </c>
    </row>
    <row r="865">
      <c r="A865" s="1" t="s">
        <v>889</v>
      </c>
      <c r="B865" s="1" t="s">
        <v>10</v>
      </c>
      <c r="C865" s="1" t="s">
        <v>11</v>
      </c>
      <c r="D865" s="2">
        <v>46030.0</v>
      </c>
      <c r="E865" s="2">
        <v>46036.0</v>
      </c>
      <c r="F865" s="1">
        <v>3583.0</v>
      </c>
    </row>
    <row r="866">
      <c r="A866" s="1" t="s">
        <v>890</v>
      </c>
      <c r="B866" s="1" t="s">
        <v>19</v>
      </c>
      <c r="C866" s="1" t="s">
        <v>11</v>
      </c>
      <c r="D866" s="2">
        <v>46032.0</v>
      </c>
      <c r="E866" s="3">
        <v>46038.0</v>
      </c>
      <c r="F866" s="1">
        <v>10623.0</v>
      </c>
    </row>
    <row r="867">
      <c r="A867" s="1" t="s">
        <v>891</v>
      </c>
      <c r="B867" s="1" t="s">
        <v>19</v>
      </c>
      <c r="C867" s="1" t="s">
        <v>16</v>
      </c>
      <c r="D867" s="2">
        <v>46042.0</v>
      </c>
      <c r="E867" s="2">
        <v>46044.0</v>
      </c>
      <c r="F867" s="1">
        <v>4219.0</v>
      </c>
    </row>
    <row r="868">
      <c r="A868" s="1" t="s">
        <v>892</v>
      </c>
      <c r="B868" s="1" t="s">
        <v>13</v>
      </c>
      <c r="C868" s="1" t="s">
        <v>16</v>
      </c>
      <c r="D868" s="3">
        <v>46052.0</v>
      </c>
      <c r="E868" s="2">
        <v>46054.0</v>
      </c>
      <c r="F868" s="1">
        <v>7623.0</v>
      </c>
    </row>
    <row r="869">
      <c r="A869" s="1" t="s">
        <v>893</v>
      </c>
      <c r="B869" s="1" t="s">
        <v>13</v>
      </c>
      <c r="C869" s="1" t="s">
        <v>16</v>
      </c>
      <c r="D869" s="2">
        <v>46036.0</v>
      </c>
      <c r="E869" s="2">
        <v>46038.0</v>
      </c>
      <c r="F869" s="1">
        <v>11254.0</v>
      </c>
    </row>
    <row r="870">
      <c r="A870" s="1" t="s">
        <v>894</v>
      </c>
      <c r="B870" s="1" t="s">
        <v>19</v>
      </c>
      <c r="C870" s="1" t="s">
        <v>11</v>
      </c>
      <c r="D870" s="2">
        <v>46053.0</v>
      </c>
      <c r="E870" s="2">
        <v>46061.0</v>
      </c>
      <c r="F870" s="1">
        <v>2179.0</v>
      </c>
    </row>
    <row r="871">
      <c r="A871" s="1" t="s">
        <v>895</v>
      </c>
      <c r="B871" s="1" t="s">
        <v>19</v>
      </c>
      <c r="C871" s="1" t="s">
        <v>14</v>
      </c>
      <c r="D871" s="2">
        <v>46053.0</v>
      </c>
      <c r="E871" s="2">
        <v>46060.0</v>
      </c>
      <c r="F871" s="1">
        <v>736.0</v>
      </c>
    </row>
    <row r="872">
      <c r="A872" s="1" t="s">
        <v>896</v>
      </c>
      <c r="B872" s="1" t="s">
        <v>13</v>
      </c>
      <c r="C872" s="1" t="s">
        <v>14</v>
      </c>
      <c r="D872" s="3">
        <v>46051.0</v>
      </c>
      <c r="E872" s="2">
        <v>46055.0</v>
      </c>
      <c r="F872" s="1">
        <v>7946.0</v>
      </c>
    </row>
    <row r="873">
      <c r="A873" s="1" t="s">
        <v>897</v>
      </c>
      <c r="B873" s="1" t="s">
        <v>19</v>
      </c>
      <c r="C873" s="1" t="s">
        <v>11</v>
      </c>
      <c r="D873" s="2">
        <v>46067.0</v>
      </c>
      <c r="E873" s="2">
        <v>46073.0</v>
      </c>
      <c r="F873" s="1">
        <v>4943.0</v>
      </c>
    </row>
    <row r="874">
      <c r="A874" s="1" t="s">
        <v>898</v>
      </c>
      <c r="B874" s="1" t="s">
        <v>10</v>
      </c>
      <c r="C874" s="1" t="s">
        <v>11</v>
      </c>
      <c r="D874" s="2">
        <v>46043.0</v>
      </c>
      <c r="E874" s="2">
        <v>46049.0</v>
      </c>
      <c r="F874" s="1">
        <v>7270.0</v>
      </c>
    </row>
    <row r="875">
      <c r="A875" s="1" t="s">
        <v>899</v>
      </c>
      <c r="B875" s="1" t="s">
        <v>10</v>
      </c>
      <c r="C875" s="1" t="s">
        <v>11</v>
      </c>
      <c r="D875" s="2">
        <v>46042.0</v>
      </c>
      <c r="E875" s="2">
        <v>46048.0</v>
      </c>
      <c r="F875" s="1">
        <v>10232.0</v>
      </c>
    </row>
    <row r="876">
      <c r="A876" s="1" t="s">
        <v>900</v>
      </c>
      <c r="B876" s="1" t="s">
        <v>10</v>
      </c>
      <c r="C876" s="1" t="s">
        <v>16</v>
      </c>
      <c r="D876" s="3">
        <v>46074.0</v>
      </c>
      <c r="E876" s="2">
        <v>46076.0</v>
      </c>
      <c r="F876" s="1">
        <v>6599.0</v>
      </c>
    </row>
    <row r="877">
      <c r="A877" s="1" t="s">
        <v>901</v>
      </c>
      <c r="B877" s="1" t="s">
        <v>19</v>
      </c>
      <c r="C877" s="1" t="s">
        <v>14</v>
      </c>
      <c r="D877" s="2">
        <v>46030.0</v>
      </c>
      <c r="E877" s="2">
        <v>46034.0</v>
      </c>
      <c r="F877" s="1">
        <v>9055.0</v>
      </c>
    </row>
    <row r="878">
      <c r="A878" s="1" t="s">
        <v>902</v>
      </c>
      <c r="B878" s="1" t="s">
        <v>19</v>
      </c>
      <c r="C878" s="1" t="s">
        <v>14</v>
      </c>
      <c r="D878" s="2">
        <v>46077.0</v>
      </c>
      <c r="E878" s="2">
        <v>46082.0</v>
      </c>
      <c r="F878" s="1">
        <v>2868.0</v>
      </c>
    </row>
    <row r="879">
      <c r="A879" s="1" t="s">
        <v>903</v>
      </c>
      <c r="B879" s="1" t="s">
        <v>13</v>
      </c>
      <c r="C879" s="1" t="s">
        <v>14</v>
      </c>
      <c r="D879" s="2">
        <v>46064.0</v>
      </c>
      <c r="F879" s="1">
        <v>785.0</v>
      </c>
    </row>
    <row r="880">
      <c r="A880" s="1" t="s">
        <v>904</v>
      </c>
      <c r="B880" s="1" t="s">
        <v>19</v>
      </c>
      <c r="C880" s="1" t="s">
        <v>14</v>
      </c>
      <c r="D880" s="2">
        <v>46066.0</v>
      </c>
      <c r="E880" s="2">
        <v>46070.0</v>
      </c>
      <c r="F880" s="1">
        <v>648.0</v>
      </c>
    </row>
    <row r="881">
      <c r="A881" s="1" t="s">
        <v>905</v>
      </c>
      <c r="B881" s="1" t="s">
        <v>19</v>
      </c>
      <c r="C881" s="1" t="s">
        <v>14</v>
      </c>
      <c r="D881" s="2">
        <v>46033.0</v>
      </c>
      <c r="E881" s="2">
        <v>46037.0</v>
      </c>
      <c r="F881" s="1">
        <v>4537.0</v>
      </c>
    </row>
    <row r="882">
      <c r="A882" s="1" t="s">
        <v>906</v>
      </c>
      <c r="B882" s="1" t="s">
        <v>13</v>
      </c>
      <c r="C882" s="1" t="s">
        <v>14</v>
      </c>
      <c r="D882" s="2">
        <v>46038.0</v>
      </c>
      <c r="E882" s="2">
        <v>46042.0</v>
      </c>
      <c r="F882" s="1">
        <v>7049.0</v>
      </c>
    </row>
    <row r="883">
      <c r="A883" s="1" t="s">
        <v>907</v>
      </c>
      <c r="B883" s="1" t="s">
        <v>19</v>
      </c>
      <c r="C883" s="1" t="s">
        <v>11</v>
      </c>
      <c r="D883" s="2">
        <v>46034.0</v>
      </c>
      <c r="E883" s="2">
        <v>46040.0</v>
      </c>
      <c r="F883" s="1">
        <v>7621.0</v>
      </c>
    </row>
    <row r="884">
      <c r="A884" s="1" t="s">
        <v>908</v>
      </c>
      <c r="B884" s="1" t="s">
        <v>13</v>
      </c>
      <c r="C884" s="1" t="s">
        <v>11</v>
      </c>
      <c r="D884" s="2">
        <v>46033.0</v>
      </c>
      <c r="E884" s="2">
        <v>46039.0</v>
      </c>
      <c r="F884" s="1">
        <v>10458.0</v>
      </c>
    </row>
    <row r="885">
      <c r="A885" s="1" t="s">
        <v>909</v>
      </c>
      <c r="B885" s="1" t="s">
        <v>19</v>
      </c>
      <c r="C885" s="1" t="s">
        <v>16</v>
      </c>
      <c r="D885" s="2">
        <v>46058.0</v>
      </c>
      <c r="E885" s="2">
        <v>46060.0</v>
      </c>
      <c r="F885" s="1">
        <v>5395.0</v>
      </c>
    </row>
    <row r="886">
      <c r="A886" s="1" t="s">
        <v>910</v>
      </c>
      <c r="B886" s="1" t="s">
        <v>19</v>
      </c>
      <c r="C886" s="1" t="s">
        <v>11</v>
      </c>
      <c r="D886" s="2">
        <v>46052.0</v>
      </c>
      <c r="E886" s="2">
        <v>46059.0</v>
      </c>
      <c r="F886" s="1">
        <v>5780.0</v>
      </c>
    </row>
    <row r="887">
      <c r="A887" s="1" t="s">
        <v>911</v>
      </c>
      <c r="B887" s="1" t="s">
        <v>19</v>
      </c>
      <c r="C887" s="1" t="s">
        <v>11</v>
      </c>
      <c r="D887" s="2">
        <v>46074.0</v>
      </c>
      <c r="E887" s="2">
        <v>46080.0</v>
      </c>
      <c r="F887" s="1">
        <v>1512.0</v>
      </c>
    </row>
    <row r="888">
      <c r="A888" s="1" t="s">
        <v>912</v>
      </c>
      <c r="B888" s="1" t="s">
        <v>19</v>
      </c>
      <c r="C888" s="1" t="s">
        <v>14</v>
      </c>
      <c r="D888" s="2">
        <v>46063.0</v>
      </c>
      <c r="E888" s="2">
        <v>46067.0</v>
      </c>
      <c r="F888" s="1">
        <v>11523.0</v>
      </c>
    </row>
    <row r="889">
      <c r="A889" s="1" t="s">
        <v>913</v>
      </c>
      <c r="B889" s="1" t="s">
        <v>10</v>
      </c>
      <c r="C889" s="1" t="s">
        <v>16</v>
      </c>
      <c r="D889" s="2">
        <v>46034.0</v>
      </c>
      <c r="E889" s="2">
        <v>46036.0</v>
      </c>
      <c r="F889" s="1">
        <v>11199.0</v>
      </c>
    </row>
    <row r="890">
      <c r="A890" s="1" t="s">
        <v>914</v>
      </c>
      <c r="B890" s="1" t="s">
        <v>10</v>
      </c>
      <c r="C890" s="1" t="s">
        <v>14</v>
      </c>
      <c r="D890" s="3">
        <v>46065.0</v>
      </c>
      <c r="E890" s="2">
        <v>46069.0</v>
      </c>
      <c r="F890" s="1">
        <v>10215.0</v>
      </c>
    </row>
    <row r="891">
      <c r="A891" s="1" t="s">
        <v>915</v>
      </c>
      <c r="B891" s="1" t="s">
        <v>19</v>
      </c>
      <c r="C891" s="1" t="s">
        <v>16</v>
      </c>
      <c r="D891" s="2">
        <v>46048.0</v>
      </c>
      <c r="E891" s="2">
        <v>46050.0</v>
      </c>
      <c r="F891" s="1">
        <v>3285.0</v>
      </c>
    </row>
    <row r="892">
      <c r="A892" s="1" t="s">
        <v>916</v>
      </c>
      <c r="B892" s="1" t="s">
        <v>10</v>
      </c>
      <c r="C892" s="1" t="s">
        <v>11</v>
      </c>
      <c r="D892" s="3">
        <v>46070.0</v>
      </c>
      <c r="E892" s="2">
        <v>46077.0</v>
      </c>
      <c r="F892" s="1">
        <v>11248.0</v>
      </c>
    </row>
    <row r="893">
      <c r="A893" s="1" t="s">
        <v>917</v>
      </c>
      <c r="B893" s="1" t="s">
        <v>13</v>
      </c>
      <c r="C893" s="1" t="s">
        <v>11</v>
      </c>
      <c r="D893" s="2">
        <v>46079.0</v>
      </c>
      <c r="E893" s="2">
        <v>46087.0</v>
      </c>
      <c r="F893" s="1">
        <v>4225.0</v>
      </c>
    </row>
    <row r="894">
      <c r="A894" s="1" t="s">
        <v>918</v>
      </c>
      <c r="B894" s="1" t="s">
        <v>10</v>
      </c>
      <c r="C894" s="1" t="s">
        <v>14</v>
      </c>
      <c r="D894" s="3">
        <v>46051.0</v>
      </c>
      <c r="E894" s="3">
        <v>46057.0</v>
      </c>
      <c r="F894" s="1">
        <v>5076.0</v>
      </c>
    </row>
    <row r="895">
      <c r="A895" s="1" t="s">
        <v>919</v>
      </c>
      <c r="B895" s="1" t="s">
        <v>13</v>
      </c>
      <c r="C895" s="1" t="s">
        <v>14</v>
      </c>
      <c r="D895" s="3">
        <v>46050.0</v>
      </c>
      <c r="E895" s="3">
        <v>46054.0</v>
      </c>
      <c r="F895" s="1">
        <v>6282.0</v>
      </c>
    </row>
    <row r="896">
      <c r="A896" s="1" t="s">
        <v>920</v>
      </c>
      <c r="B896" s="1" t="s">
        <v>13</v>
      </c>
      <c r="C896" s="1" t="s">
        <v>14</v>
      </c>
      <c r="D896" s="3">
        <v>46023.0</v>
      </c>
      <c r="E896" s="2">
        <v>46027.0</v>
      </c>
      <c r="F896" s="1">
        <v>6757.0</v>
      </c>
    </row>
    <row r="897">
      <c r="A897" s="1" t="s">
        <v>921</v>
      </c>
      <c r="B897" s="1" t="s">
        <v>13</v>
      </c>
      <c r="C897" s="1" t="s">
        <v>11</v>
      </c>
      <c r="D897" s="2">
        <v>46036.0</v>
      </c>
      <c r="E897" s="2">
        <v>46042.0</v>
      </c>
      <c r="F897" s="1">
        <v>10293.0</v>
      </c>
    </row>
    <row r="898">
      <c r="A898" s="1" t="s">
        <v>922</v>
      </c>
      <c r="B898" s="1" t="s">
        <v>10</v>
      </c>
      <c r="C898" s="1" t="s">
        <v>11</v>
      </c>
      <c r="D898" s="2">
        <v>46040.0</v>
      </c>
      <c r="E898" s="3">
        <v>46046.0</v>
      </c>
      <c r="F898" s="1">
        <v>2908.0</v>
      </c>
    </row>
    <row r="899">
      <c r="A899" s="1" t="s">
        <v>923</v>
      </c>
      <c r="B899" s="1" t="s">
        <v>19</v>
      </c>
      <c r="C899" s="1" t="s">
        <v>11</v>
      </c>
      <c r="D899" s="2">
        <v>46068.0</v>
      </c>
      <c r="E899" s="2">
        <v>46076.0</v>
      </c>
      <c r="F899" s="1">
        <v>840.0</v>
      </c>
    </row>
    <row r="900">
      <c r="A900" s="1" t="s">
        <v>924</v>
      </c>
      <c r="B900" s="1" t="s">
        <v>19</v>
      </c>
      <c r="C900" s="1" t="s">
        <v>16</v>
      </c>
      <c r="D900" s="2">
        <v>46073.0</v>
      </c>
      <c r="E900" s="2">
        <v>46075.0</v>
      </c>
      <c r="F900" s="1">
        <v>3317.0</v>
      </c>
    </row>
    <row r="901">
      <c r="A901" s="1" t="s">
        <v>925</v>
      </c>
      <c r="B901" s="1" t="s">
        <v>10</v>
      </c>
      <c r="C901" s="1" t="s">
        <v>14</v>
      </c>
      <c r="D901" s="2">
        <v>46059.0</v>
      </c>
      <c r="E901" s="2">
        <v>46063.0</v>
      </c>
      <c r="F901" s="1">
        <v>2996.0</v>
      </c>
    </row>
    <row r="902">
      <c r="A902" s="1" t="s">
        <v>926</v>
      </c>
      <c r="B902" s="1" t="s">
        <v>13</v>
      </c>
      <c r="C902" s="1" t="s">
        <v>16</v>
      </c>
      <c r="D902" s="2">
        <v>46074.0</v>
      </c>
      <c r="E902" s="2">
        <v>46076.0</v>
      </c>
      <c r="F902" s="1">
        <v>6462.0</v>
      </c>
    </row>
    <row r="903">
      <c r="A903" s="1" t="s">
        <v>927</v>
      </c>
      <c r="B903" s="1" t="s">
        <v>10</v>
      </c>
      <c r="C903" s="1" t="s">
        <v>11</v>
      </c>
      <c r="D903" s="2">
        <v>46034.0</v>
      </c>
      <c r="E903" s="2">
        <v>46040.0</v>
      </c>
      <c r="F903" s="1">
        <v>5799.0</v>
      </c>
    </row>
    <row r="904">
      <c r="A904" s="1" t="s">
        <v>928</v>
      </c>
      <c r="B904" s="1" t="s">
        <v>19</v>
      </c>
      <c r="C904" s="1" t="s">
        <v>11</v>
      </c>
      <c r="D904" s="3">
        <v>46043.0</v>
      </c>
      <c r="E904" s="2">
        <v>46049.0</v>
      </c>
      <c r="F904" s="1">
        <v>10417.0</v>
      </c>
    </row>
    <row r="905">
      <c r="A905" s="1" t="s">
        <v>929</v>
      </c>
      <c r="B905" s="1" t="s">
        <v>10</v>
      </c>
      <c r="C905" s="1" t="s">
        <v>16</v>
      </c>
      <c r="D905" s="2">
        <v>46052.0</v>
      </c>
      <c r="E905" s="2">
        <v>46054.0</v>
      </c>
      <c r="F905" s="1">
        <v>8074.0</v>
      </c>
    </row>
    <row r="906">
      <c r="A906" s="1" t="s">
        <v>930</v>
      </c>
      <c r="B906" s="1" t="s">
        <v>10</v>
      </c>
      <c r="C906" s="1" t="s">
        <v>14</v>
      </c>
      <c r="D906" s="2">
        <v>46039.0</v>
      </c>
      <c r="F906" s="1">
        <v>2189.0</v>
      </c>
    </row>
    <row r="907">
      <c r="A907" s="1" t="s">
        <v>931</v>
      </c>
      <c r="B907" s="1" t="s">
        <v>19</v>
      </c>
      <c r="C907" s="1" t="s">
        <v>14</v>
      </c>
      <c r="D907" s="2">
        <v>46078.0</v>
      </c>
      <c r="E907" s="2">
        <v>46084.0</v>
      </c>
      <c r="F907" s="1">
        <v>3767.0</v>
      </c>
    </row>
    <row r="908">
      <c r="A908" s="1" t="s">
        <v>932</v>
      </c>
      <c r="B908" s="1" t="s">
        <v>19</v>
      </c>
      <c r="C908" s="1" t="s">
        <v>11</v>
      </c>
      <c r="D908" s="2">
        <v>46056.0</v>
      </c>
      <c r="E908" s="2">
        <v>46063.0</v>
      </c>
      <c r="F908" s="1">
        <v>4906.0</v>
      </c>
    </row>
    <row r="909">
      <c r="A909" s="1" t="s">
        <v>933</v>
      </c>
      <c r="B909" s="1" t="s">
        <v>13</v>
      </c>
      <c r="C909" s="1" t="s">
        <v>11</v>
      </c>
      <c r="D909" s="3">
        <v>46043.0</v>
      </c>
      <c r="E909" s="2">
        <v>46049.0</v>
      </c>
      <c r="F909" s="1">
        <v>8953.0</v>
      </c>
    </row>
    <row r="910">
      <c r="A910" s="1" t="s">
        <v>934</v>
      </c>
      <c r="B910" s="1" t="s">
        <v>13</v>
      </c>
      <c r="C910" s="1" t="s">
        <v>11</v>
      </c>
      <c r="D910" s="2">
        <v>46047.0</v>
      </c>
      <c r="E910" s="2">
        <v>46053.0</v>
      </c>
      <c r="F910" s="1">
        <v>1942.0</v>
      </c>
    </row>
    <row r="911">
      <c r="A911" s="1" t="s">
        <v>935</v>
      </c>
      <c r="B911" s="1" t="s">
        <v>19</v>
      </c>
      <c r="C911" s="1" t="s">
        <v>14</v>
      </c>
      <c r="D911" s="2">
        <v>46048.0</v>
      </c>
      <c r="E911" s="2">
        <v>46052.0</v>
      </c>
      <c r="F911" s="1">
        <v>9097.0</v>
      </c>
    </row>
    <row r="912">
      <c r="A912" s="1" t="s">
        <v>936</v>
      </c>
      <c r="B912" s="1" t="s">
        <v>13</v>
      </c>
      <c r="C912" s="1" t="s">
        <v>16</v>
      </c>
      <c r="D912" s="2">
        <v>46030.0</v>
      </c>
      <c r="E912" s="2">
        <v>46032.0</v>
      </c>
      <c r="F912" s="1">
        <v>10882.0</v>
      </c>
    </row>
    <row r="913">
      <c r="A913" s="1" t="s">
        <v>937</v>
      </c>
      <c r="B913" s="1" t="s">
        <v>19</v>
      </c>
      <c r="C913" s="1" t="s">
        <v>11</v>
      </c>
      <c r="D913" s="2">
        <v>46045.0</v>
      </c>
      <c r="E913" s="2">
        <v>46051.0</v>
      </c>
      <c r="F913" s="1">
        <v>4937.0</v>
      </c>
    </row>
    <row r="914">
      <c r="A914" s="1" t="s">
        <v>938</v>
      </c>
      <c r="B914" s="1" t="s">
        <v>10</v>
      </c>
      <c r="C914" s="1" t="s">
        <v>11</v>
      </c>
      <c r="D914" s="3">
        <v>46062.0</v>
      </c>
      <c r="E914" s="3">
        <v>46068.0</v>
      </c>
      <c r="F914" s="1">
        <v>5935.0</v>
      </c>
    </row>
    <row r="915">
      <c r="A915" s="1" t="s">
        <v>939</v>
      </c>
      <c r="B915" s="1" t="s">
        <v>13</v>
      </c>
      <c r="C915" s="1" t="s">
        <v>16</v>
      </c>
      <c r="D915" s="3">
        <v>46075.0</v>
      </c>
      <c r="E915" s="2">
        <v>46077.0</v>
      </c>
      <c r="F915" s="1">
        <v>8935.0</v>
      </c>
    </row>
    <row r="916">
      <c r="A916" s="1" t="s">
        <v>940</v>
      </c>
      <c r="B916" s="1" t="s">
        <v>19</v>
      </c>
      <c r="C916" s="1" t="s">
        <v>14</v>
      </c>
      <c r="D916" s="2">
        <v>46068.0</v>
      </c>
      <c r="E916" s="3">
        <v>46072.0</v>
      </c>
      <c r="F916" s="1">
        <v>4607.0</v>
      </c>
    </row>
    <row r="917">
      <c r="A917" s="1" t="s">
        <v>941</v>
      </c>
      <c r="B917" s="1" t="s">
        <v>10</v>
      </c>
      <c r="C917" s="1" t="s">
        <v>11</v>
      </c>
      <c r="D917" s="2">
        <v>46042.0</v>
      </c>
      <c r="E917" s="2">
        <v>46048.0</v>
      </c>
      <c r="F917" s="1">
        <v>1060.0</v>
      </c>
    </row>
    <row r="918">
      <c r="A918" s="1" t="s">
        <v>942</v>
      </c>
      <c r="B918" s="1" t="s">
        <v>10</v>
      </c>
      <c r="C918" s="1" t="s">
        <v>14</v>
      </c>
      <c r="D918" s="3">
        <v>46060.0</v>
      </c>
      <c r="E918" s="2">
        <v>46064.0</v>
      </c>
      <c r="F918" s="1">
        <v>11417.0</v>
      </c>
    </row>
    <row r="919">
      <c r="A919" s="1" t="s">
        <v>943</v>
      </c>
      <c r="B919" s="1" t="s">
        <v>19</v>
      </c>
      <c r="C919" s="1" t="s">
        <v>11</v>
      </c>
      <c r="D919" s="2">
        <v>46066.0</v>
      </c>
      <c r="E919" s="2">
        <v>46075.0</v>
      </c>
      <c r="F919" s="1">
        <v>9285.0</v>
      </c>
    </row>
    <row r="920">
      <c r="A920" s="1" t="s">
        <v>944</v>
      </c>
      <c r="B920" s="1" t="s">
        <v>19</v>
      </c>
      <c r="C920" s="1" t="s">
        <v>14</v>
      </c>
      <c r="D920" s="2">
        <v>46043.0</v>
      </c>
      <c r="E920" s="2">
        <v>46048.0</v>
      </c>
      <c r="F920" s="1">
        <v>6048.0</v>
      </c>
    </row>
    <row r="921">
      <c r="A921" s="1" t="s">
        <v>945</v>
      </c>
      <c r="B921" s="1" t="s">
        <v>10</v>
      </c>
      <c r="C921" s="1" t="s">
        <v>16</v>
      </c>
      <c r="D921" s="2">
        <v>46038.0</v>
      </c>
      <c r="E921" s="2">
        <v>46040.0</v>
      </c>
      <c r="F921" s="1">
        <v>2326.0</v>
      </c>
    </row>
    <row r="922">
      <c r="A922" s="1" t="s">
        <v>946</v>
      </c>
      <c r="B922" s="1" t="s">
        <v>10</v>
      </c>
      <c r="C922" s="1" t="s">
        <v>11</v>
      </c>
      <c r="D922" s="2">
        <v>46030.0</v>
      </c>
      <c r="E922" s="3">
        <v>46038.0</v>
      </c>
      <c r="F922" s="1">
        <v>11921.0</v>
      </c>
    </row>
    <row r="923">
      <c r="A923" s="1" t="s">
        <v>947</v>
      </c>
      <c r="B923" s="1" t="s">
        <v>19</v>
      </c>
      <c r="C923" s="1" t="s">
        <v>11</v>
      </c>
      <c r="D923" s="2">
        <v>46046.0</v>
      </c>
      <c r="E923" s="2">
        <v>46052.0</v>
      </c>
      <c r="F923" s="1">
        <v>11979.0</v>
      </c>
    </row>
    <row r="924">
      <c r="A924" s="1" t="s">
        <v>948</v>
      </c>
      <c r="B924" s="1" t="s">
        <v>19</v>
      </c>
      <c r="C924" s="1" t="s">
        <v>11</v>
      </c>
      <c r="D924" s="3">
        <v>46032.0</v>
      </c>
      <c r="E924" s="2">
        <v>46040.0</v>
      </c>
      <c r="F924" s="1">
        <v>8129.0</v>
      </c>
    </row>
    <row r="925">
      <c r="A925" s="1" t="s">
        <v>949</v>
      </c>
      <c r="B925" s="1" t="s">
        <v>10</v>
      </c>
      <c r="C925" s="1" t="s">
        <v>11</v>
      </c>
      <c r="D925" s="2">
        <v>46047.0</v>
      </c>
      <c r="E925" s="2">
        <v>46054.0</v>
      </c>
      <c r="F925" s="1">
        <v>8825.0</v>
      </c>
    </row>
    <row r="926">
      <c r="A926" s="1" t="s">
        <v>950</v>
      </c>
      <c r="B926" s="1" t="s">
        <v>10</v>
      </c>
      <c r="C926" s="1" t="s">
        <v>11</v>
      </c>
      <c r="D926" s="3">
        <v>46061.0</v>
      </c>
      <c r="E926" s="2">
        <v>46067.0</v>
      </c>
      <c r="F926" s="1">
        <v>3638.0</v>
      </c>
    </row>
    <row r="927">
      <c r="A927" s="1" t="s">
        <v>951</v>
      </c>
      <c r="B927" s="1" t="s">
        <v>19</v>
      </c>
      <c r="C927" s="1" t="s">
        <v>16</v>
      </c>
      <c r="D927" s="2">
        <v>46059.0</v>
      </c>
      <c r="E927" s="2">
        <v>46061.0</v>
      </c>
      <c r="F927" s="1">
        <v>8193.0</v>
      </c>
    </row>
    <row r="928">
      <c r="A928" s="1" t="s">
        <v>952</v>
      </c>
      <c r="B928" s="1" t="s">
        <v>19</v>
      </c>
      <c r="C928" s="1" t="s">
        <v>11</v>
      </c>
      <c r="D928" s="2">
        <v>46050.0</v>
      </c>
      <c r="E928" s="3">
        <v>46056.0</v>
      </c>
      <c r="F928" s="1">
        <v>8764.0</v>
      </c>
    </row>
    <row r="929">
      <c r="A929" s="1" t="s">
        <v>953</v>
      </c>
      <c r="B929" s="1" t="s">
        <v>10</v>
      </c>
      <c r="C929" s="1" t="s">
        <v>11</v>
      </c>
      <c r="D929" s="2">
        <v>46054.0</v>
      </c>
      <c r="E929" s="2">
        <v>46060.0</v>
      </c>
      <c r="F929" s="1">
        <v>8342.0</v>
      </c>
    </row>
    <row r="930">
      <c r="A930" s="1" t="s">
        <v>954</v>
      </c>
      <c r="B930" s="1" t="s">
        <v>19</v>
      </c>
      <c r="C930" s="1" t="s">
        <v>14</v>
      </c>
      <c r="D930" s="2">
        <v>46057.0</v>
      </c>
      <c r="E930" s="2">
        <v>46061.0</v>
      </c>
      <c r="F930" s="1">
        <v>7221.0</v>
      </c>
    </row>
    <row r="931">
      <c r="A931" s="1" t="s">
        <v>955</v>
      </c>
      <c r="B931" s="1" t="s">
        <v>19</v>
      </c>
      <c r="C931" s="1" t="s">
        <v>11</v>
      </c>
      <c r="D931" s="3">
        <v>46081.0</v>
      </c>
      <c r="E931" s="2">
        <v>46087.0</v>
      </c>
      <c r="F931" s="1">
        <v>7502.0</v>
      </c>
    </row>
    <row r="932">
      <c r="A932" s="1" t="s">
        <v>956</v>
      </c>
      <c r="B932" s="1" t="s">
        <v>19</v>
      </c>
      <c r="C932" s="1" t="s">
        <v>14</v>
      </c>
      <c r="D932" s="2">
        <v>46082.0</v>
      </c>
      <c r="E932" s="2">
        <v>46086.0</v>
      </c>
      <c r="F932" s="1">
        <v>4725.0</v>
      </c>
    </row>
    <row r="933">
      <c r="A933" s="1" t="s">
        <v>957</v>
      </c>
      <c r="B933" s="1" t="s">
        <v>19</v>
      </c>
      <c r="C933" s="1" t="s">
        <v>16</v>
      </c>
      <c r="D933" s="3">
        <v>46058.0</v>
      </c>
      <c r="E933" s="2">
        <v>46062.0</v>
      </c>
      <c r="F933" s="1">
        <v>3478.0</v>
      </c>
    </row>
    <row r="934">
      <c r="A934" s="1" t="s">
        <v>958</v>
      </c>
      <c r="B934" s="1" t="s">
        <v>13</v>
      </c>
      <c r="C934" s="1" t="s">
        <v>14</v>
      </c>
      <c r="D934" s="2">
        <v>46054.0</v>
      </c>
      <c r="E934" s="2">
        <v>46063.0</v>
      </c>
      <c r="F934" s="1">
        <v>7873.0</v>
      </c>
    </row>
    <row r="935">
      <c r="A935" s="1" t="s">
        <v>959</v>
      </c>
      <c r="B935" s="1" t="s">
        <v>13</v>
      </c>
      <c r="C935" s="1" t="s">
        <v>14</v>
      </c>
      <c r="D935" s="2">
        <v>46031.0</v>
      </c>
      <c r="E935" s="2">
        <v>46035.0</v>
      </c>
      <c r="F935" s="1">
        <v>6407.0</v>
      </c>
    </row>
    <row r="936">
      <c r="A936" s="1" t="s">
        <v>960</v>
      </c>
      <c r="B936" s="1" t="s">
        <v>10</v>
      </c>
      <c r="C936" s="1" t="s">
        <v>16</v>
      </c>
      <c r="D936" s="2">
        <v>46043.0</v>
      </c>
      <c r="E936" s="2">
        <v>46045.0</v>
      </c>
      <c r="F936" s="1">
        <v>6597.0</v>
      </c>
    </row>
    <row r="937">
      <c r="A937" s="1" t="s">
        <v>961</v>
      </c>
      <c r="B937" s="1" t="s">
        <v>13</v>
      </c>
      <c r="C937" s="1" t="s">
        <v>16</v>
      </c>
      <c r="D937" s="2">
        <v>46062.0</v>
      </c>
      <c r="E937" s="2">
        <v>46064.0</v>
      </c>
      <c r="F937" s="1">
        <v>6156.0</v>
      </c>
    </row>
    <row r="938">
      <c r="A938" s="1" t="s">
        <v>962</v>
      </c>
      <c r="B938" s="1" t="s">
        <v>19</v>
      </c>
      <c r="C938" s="1" t="s">
        <v>14</v>
      </c>
      <c r="D938" s="2">
        <v>46078.0</v>
      </c>
      <c r="E938" s="3">
        <v>46082.0</v>
      </c>
      <c r="F938" s="1">
        <v>10677.0</v>
      </c>
    </row>
    <row r="939">
      <c r="A939" s="1" t="s">
        <v>963</v>
      </c>
      <c r="B939" s="1" t="s">
        <v>13</v>
      </c>
      <c r="C939" s="1" t="s">
        <v>14</v>
      </c>
      <c r="D939" s="2">
        <v>46083.0</v>
      </c>
      <c r="E939" s="2">
        <v>46089.0</v>
      </c>
      <c r="F939" s="1">
        <v>9484.0</v>
      </c>
    </row>
    <row r="940">
      <c r="A940" s="1" t="s">
        <v>964</v>
      </c>
      <c r="B940" s="1" t="s">
        <v>10</v>
      </c>
      <c r="C940" s="1" t="s">
        <v>16</v>
      </c>
      <c r="D940" s="2">
        <v>46054.0</v>
      </c>
      <c r="E940" s="2">
        <v>46056.0</v>
      </c>
      <c r="F940" s="1">
        <v>4759.0</v>
      </c>
    </row>
    <row r="941">
      <c r="A941" s="1" t="s">
        <v>965</v>
      </c>
      <c r="B941" s="1" t="s">
        <v>10</v>
      </c>
      <c r="C941" s="1" t="s">
        <v>16</v>
      </c>
      <c r="D941" s="3">
        <v>46035.0</v>
      </c>
      <c r="E941" s="2">
        <v>46037.0</v>
      </c>
      <c r="F941" s="1">
        <v>8786.0</v>
      </c>
    </row>
    <row r="942">
      <c r="A942" s="1" t="s">
        <v>966</v>
      </c>
      <c r="B942" s="1" t="s">
        <v>10</v>
      </c>
      <c r="C942" s="1" t="s">
        <v>16</v>
      </c>
      <c r="D942" s="2">
        <v>46058.0</v>
      </c>
      <c r="E942" s="2">
        <v>46060.0</v>
      </c>
      <c r="F942" s="1">
        <v>6401.0</v>
      </c>
    </row>
    <row r="943">
      <c r="A943" s="1" t="s">
        <v>967</v>
      </c>
      <c r="B943" s="1" t="s">
        <v>13</v>
      </c>
      <c r="C943" s="1" t="s">
        <v>16</v>
      </c>
      <c r="D943" s="2">
        <v>46064.0</v>
      </c>
      <c r="E943" s="2">
        <v>46066.0</v>
      </c>
      <c r="F943" s="1">
        <v>9825.0</v>
      </c>
    </row>
    <row r="944">
      <c r="A944" s="1" t="s">
        <v>968</v>
      </c>
      <c r="B944" s="1" t="s">
        <v>13</v>
      </c>
      <c r="C944" s="1" t="s">
        <v>16</v>
      </c>
      <c r="D944" s="2">
        <v>46049.0</v>
      </c>
      <c r="E944" s="2">
        <v>46051.0</v>
      </c>
      <c r="F944" s="1">
        <v>5417.0</v>
      </c>
    </row>
    <row r="945">
      <c r="A945" s="1" t="s">
        <v>969</v>
      </c>
      <c r="B945" s="1" t="s">
        <v>13</v>
      </c>
      <c r="C945" s="1" t="s">
        <v>14</v>
      </c>
      <c r="D945" s="2">
        <v>46054.0</v>
      </c>
      <c r="E945" s="2">
        <v>46060.0</v>
      </c>
      <c r="F945" s="1">
        <v>8929.0</v>
      </c>
    </row>
    <row r="946">
      <c r="A946" s="1" t="s">
        <v>970</v>
      </c>
      <c r="B946" s="1" t="s">
        <v>10</v>
      </c>
      <c r="C946" s="1" t="s">
        <v>16</v>
      </c>
      <c r="D946" s="2">
        <v>46068.0</v>
      </c>
      <c r="E946" s="2">
        <v>46070.0</v>
      </c>
      <c r="F946" s="1">
        <v>11638.0</v>
      </c>
    </row>
    <row r="947">
      <c r="A947" s="1" t="s">
        <v>971</v>
      </c>
      <c r="B947" s="1" t="s">
        <v>19</v>
      </c>
      <c r="C947" s="1" t="s">
        <v>11</v>
      </c>
      <c r="D947" s="2">
        <v>46054.0</v>
      </c>
      <c r="E947" s="3">
        <v>46060.0</v>
      </c>
      <c r="F947" s="1">
        <v>3030.0</v>
      </c>
    </row>
    <row r="948">
      <c r="A948" s="1" t="s">
        <v>972</v>
      </c>
      <c r="B948" s="1" t="s">
        <v>19</v>
      </c>
      <c r="C948" s="1" t="s">
        <v>11</v>
      </c>
      <c r="D948" s="2">
        <v>46028.0</v>
      </c>
      <c r="E948" s="2">
        <v>46034.0</v>
      </c>
      <c r="F948" s="1">
        <v>2460.0</v>
      </c>
    </row>
    <row r="949">
      <c r="A949" s="1" t="s">
        <v>973</v>
      </c>
      <c r="B949" s="1" t="s">
        <v>10</v>
      </c>
      <c r="C949" s="1" t="s">
        <v>11</v>
      </c>
      <c r="D949" s="2">
        <v>46024.0</v>
      </c>
      <c r="E949" s="2">
        <v>46032.0</v>
      </c>
      <c r="F949" s="1">
        <v>7545.0</v>
      </c>
    </row>
    <row r="950">
      <c r="A950" s="1" t="s">
        <v>974</v>
      </c>
      <c r="B950" s="1" t="s">
        <v>10</v>
      </c>
      <c r="C950" s="1" t="s">
        <v>11</v>
      </c>
      <c r="D950" s="2">
        <v>46071.0</v>
      </c>
      <c r="E950" s="2">
        <v>46079.0</v>
      </c>
      <c r="F950" s="1">
        <v>1548.0</v>
      </c>
    </row>
    <row r="951">
      <c r="A951" s="1" t="s">
        <v>975</v>
      </c>
      <c r="B951" s="1" t="s">
        <v>10</v>
      </c>
      <c r="C951" s="1" t="s">
        <v>16</v>
      </c>
      <c r="D951" s="2">
        <v>46041.0</v>
      </c>
      <c r="E951" s="2">
        <v>46043.0</v>
      </c>
      <c r="F951" s="1">
        <v>6272.0</v>
      </c>
    </row>
    <row r="952">
      <c r="A952" s="1" t="s">
        <v>597</v>
      </c>
      <c r="B952" s="1" t="s">
        <v>10</v>
      </c>
      <c r="C952" s="1" t="s">
        <v>11</v>
      </c>
      <c r="D952" s="3">
        <v>46040.0</v>
      </c>
      <c r="E952" s="3">
        <v>46046.0</v>
      </c>
      <c r="F952" s="1">
        <v>3029.0</v>
      </c>
    </row>
    <row r="953">
      <c r="A953" s="1" t="s">
        <v>808</v>
      </c>
      <c r="B953" s="1" t="s">
        <v>19</v>
      </c>
      <c r="C953" s="1" t="s">
        <v>14</v>
      </c>
      <c r="D953" s="2">
        <v>46057.0</v>
      </c>
      <c r="E953" s="2">
        <v>46061.0</v>
      </c>
      <c r="F953" s="1">
        <v>3464.0</v>
      </c>
    </row>
    <row r="954">
      <c r="A954" s="1" t="s">
        <v>452</v>
      </c>
      <c r="B954" s="1" t="s">
        <v>13</v>
      </c>
      <c r="C954" s="1" t="s">
        <v>11</v>
      </c>
      <c r="D954" s="3">
        <v>46033.0</v>
      </c>
      <c r="E954" s="3">
        <v>46039.0</v>
      </c>
      <c r="F954" s="1">
        <v>7637.0</v>
      </c>
    </row>
    <row r="955">
      <c r="A955" s="1" t="s">
        <v>646</v>
      </c>
      <c r="B955" s="1" t="s">
        <v>13</v>
      </c>
      <c r="C955" s="1" t="s">
        <v>16</v>
      </c>
      <c r="D955" s="2">
        <v>46052.0</v>
      </c>
      <c r="E955" s="3">
        <v>46056.0</v>
      </c>
      <c r="F955" s="1">
        <v>1463.0</v>
      </c>
    </row>
    <row r="956">
      <c r="A956" s="1" t="s">
        <v>636</v>
      </c>
      <c r="B956" s="1" t="s">
        <v>19</v>
      </c>
      <c r="C956" s="1" t="s">
        <v>11</v>
      </c>
      <c r="D956" s="2">
        <v>46070.0</v>
      </c>
      <c r="E956" s="2">
        <v>46076.0</v>
      </c>
      <c r="F956" s="1">
        <v>1036.0</v>
      </c>
    </row>
    <row r="957">
      <c r="A957" s="1" t="s">
        <v>835</v>
      </c>
      <c r="B957" s="1" t="s">
        <v>13</v>
      </c>
      <c r="C957" s="1" t="s">
        <v>14</v>
      </c>
      <c r="D957" s="2">
        <v>46072.0</v>
      </c>
      <c r="E957" s="2">
        <v>46076.0</v>
      </c>
      <c r="F957" s="1">
        <v>7840.0</v>
      </c>
    </row>
    <row r="958">
      <c r="A958" s="1" t="s">
        <v>659</v>
      </c>
      <c r="B958" s="1" t="s">
        <v>19</v>
      </c>
      <c r="C958" s="1" t="s">
        <v>16</v>
      </c>
      <c r="D958" s="2">
        <v>46058.0</v>
      </c>
      <c r="E958" s="2">
        <v>46060.0</v>
      </c>
      <c r="F958" s="1">
        <v>7679.0</v>
      </c>
    </row>
    <row r="959">
      <c r="A959" s="1" t="s">
        <v>251</v>
      </c>
      <c r="B959" s="1" t="s">
        <v>13</v>
      </c>
      <c r="C959" s="1" t="s">
        <v>16</v>
      </c>
      <c r="D959" s="2">
        <v>46030.0</v>
      </c>
      <c r="E959" s="2">
        <v>46032.0</v>
      </c>
      <c r="F959" s="1">
        <v>8467.0</v>
      </c>
    </row>
    <row r="960">
      <c r="A960" s="1" t="s">
        <v>820</v>
      </c>
      <c r="B960" s="1" t="s">
        <v>19</v>
      </c>
      <c r="C960" s="1" t="s">
        <v>16</v>
      </c>
      <c r="D960" s="2">
        <v>46030.0</v>
      </c>
      <c r="E960" s="3">
        <v>46032.0</v>
      </c>
      <c r="F960" s="1">
        <v>9234.0</v>
      </c>
    </row>
    <row r="961">
      <c r="A961" s="1" t="s">
        <v>561</v>
      </c>
      <c r="B961" s="1" t="s">
        <v>13</v>
      </c>
      <c r="C961" s="1" t="s">
        <v>11</v>
      </c>
      <c r="D961" s="2">
        <v>46072.0</v>
      </c>
      <c r="E961" s="2">
        <v>46079.0</v>
      </c>
      <c r="F961" s="1">
        <v>1345.0</v>
      </c>
    </row>
    <row r="962">
      <c r="A962" s="1" t="s">
        <v>415</v>
      </c>
      <c r="B962" s="1" t="s">
        <v>10</v>
      </c>
      <c r="C962" s="1" t="s">
        <v>11</v>
      </c>
      <c r="D962" s="2">
        <v>46075.0</v>
      </c>
      <c r="F962" s="1">
        <v>6277.0</v>
      </c>
    </row>
    <row r="963">
      <c r="A963" s="1" t="s">
        <v>487</v>
      </c>
      <c r="B963" s="1" t="s">
        <v>10</v>
      </c>
      <c r="C963" s="1" t="s">
        <v>16</v>
      </c>
      <c r="D963" s="2">
        <v>46057.0</v>
      </c>
      <c r="E963" s="2">
        <v>46059.0</v>
      </c>
      <c r="F963" s="1">
        <v>3536.0</v>
      </c>
    </row>
    <row r="964">
      <c r="A964" s="1" t="s">
        <v>956</v>
      </c>
      <c r="B964" s="1" t="s">
        <v>13</v>
      </c>
      <c r="C964" s="1" t="s">
        <v>11</v>
      </c>
      <c r="D964" s="3">
        <v>46025.0</v>
      </c>
      <c r="E964" s="2">
        <v>46031.0</v>
      </c>
      <c r="F964" s="1">
        <v>6447.0</v>
      </c>
    </row>
    <row r="965">
      <c r="A965" s="1" t="s">
        <v>479</v>
      </c>
      <c r="B965" s="1" t="s">
        <v>19</v>
      </c>
      <c r="C965" s="1" t="s">
        <v>14</v>
      </c>
      <c r="D965" s="2">
        <v>46069.0</v>
      </c>
      <c r="E965" s="2">
        <v>46073.0</v>
      </c>
      <c r="F965" s="1">
        <v>2994.0</v>
      </c>
    </row>
    <row r="966">
      <c r="A966" s="1" t="s">
        <v>329</v>
      </c>
      <c r="B966" s="1" t="s">
        <v>13</v>
      </c>
      <c r="C966" s="1" t="s">
        <v>16</v>
      </c>
      <c r="D966" s="2">
        <v>46057.0</v>
      </c>
      <c r="E966" s="2">
        <v>46059.0</v>
      </c>
      <c r="F966" s="1">
        <v>3219.0</v>
      </c>
    </row>
    <row r="967">
      <c r="A967" s="1" t="s">
        <v>906</v>
      </c>
      <c r="B967" s="1" t="s">
        <v>13</v>
      </c>
      <c r="C967" s="1" t="s">
        <v>14</v>
      </c>
      <c r="D967" s="2">
        <v>46050.0</v>
      </c>
      <c r="E967" s="3">
        <v>46054.0</v>
      </c>
      <c r="F967" s="1">
        <v>2384.0</v>
      </c>
    </row>
    <row r="968">
      <c r="A968" s="1" t="s">
        <v>628</v>
      </c>
      <c r="B968" s="1" t="s">
        <v>10</v>
      </c>
      <c r="C968" s="1" t="s">
        <v>14</v>
      </c>
      <c r="D968" s="3">
        <v>46070.0</v>
      </c>
      <c r="E968" s="2">
        <v>46075.0</v>
      </c>
      <c r="F968" s="1">
        <v>4849.0</v>
      </c>
    </row>
    <row r="969">
      <c r="A969" s="1" t="s">
        <v>465</v>
      </c>
      <c r="B969" s="1" t="s">
        <v>19</v>
      </c>
      <c r="C969" s="1" t="s">
        <v>11</v>
      </c>
      <c r="D969" s="2">
        <v>46071.0</v>
      </c>
      <c r="E969" s="2">
        <v>46077.0</v>
      </c>
      <c r="F969" s="1">
        <v>11893.0</v>
      </c>
    </row>
    <row r="970">
      <c r="A970" s="1" t="s">
        <v>337</v>
      </c>
      <c r="B970" s="1" t="s">
        <v>10</v>
      </c>
      <c r="C970" s="1" t="s">
        <v>11</v>
      </c>
      <c r="D970" s="3">
        <v>46042.0</v>
      </c>
      <c r="E970" s="2">
        <v>46048.0</v>
      </c>
      <c r="F970" s="1">
        <v>5679.0</v>
      </c>
    </row>
    <row r="971">
      <c r="A971" s="1" t="s">
        <v>608</v>
      </c>
      <c r="B971" s="1" t="s">
        <v>13</v>
      </c>
      <c r="C971" s="1" t="s">
        <v>16</v>
      </c>
      <c r="D971" s="2">
        <v>46051.0</v>
      </c>
      <c r="E971" s="3">
        <v>46053.0</v>
      </c>
      <c r="F971" s="1">
        <v>11402.0</v>
      </c>
    </row>
    <row r="972">
      <c r="A972" s="1" t="s">
        <v>661</v>
      </c>
      <c r="B972" s="1" t="s">
        <v>10</v>
      </c>
      <c r="C972" s="1" t="s">
        <v>14</v>
      </c>
      <c r="D972" s="3">
        <v>46045.0</v>
      </c>
      <c r="E972" s="2">
        <v>46049.0</v>
      </c>
      <c r="F972" s="1">
        <v>7110.0</v>
      </c>
    </row>
    <row r="973">
      <c r="A973" s="1" t="s">
        <v>80</v>
      </c>
      <c r="B973" s="1" t="s">
        <v>19</v>
      </c>
      <c r="C973" s="1" t="s">
        <v>11</v>
      </c>
      <c r="D973" s="2">
        <v>46051.0</v>
      </c>
      <c r="E973" s="2">
        <v>46060.0</v>
      </c>
      <c r="F973" s="1">
        <v>6930.0</v>
      </c>
    </row>
    <row r="974">
      <c r="A974" s="1" t="s">
        <v>650</v>
      </c>
      <c r="B974" s="1" t="s">
        <v>13</v>
      </c>
      <c r="C974" s="1" t="s">
        <v>14</v>
      </c>
      <c r="D974" s="2">
        <v>46072.0</v>
      </c>
      <c r="E974" s="2">
        <v>46077.0</v>
      </c>
      <c r="F974" s="1">
        <v>7654.0</v>
      </c>
    </row>
    <row r="975">
      <c r="A975" s="1" t="s">
        <v>783</v>
      </c>
      <c r="B975" s="1" t="s">
        <v>13</v>
      </c>
      <c r="C975" s="1" t="s">
        <v>11</v>
      </c>
      <c r="D975" s="2">
        <v>46038.0</v>
      </c>
      <c r="E975" s="2">
        <v>46044.0</v>
      </c>
      <c r="F975" s="1">
        <v>10645.0</v>
      </c>
    </row>
    <row r="976">
      <c r="A976" s="1" t="s">
        <v>120</v>
      </c>
      <c r="B976" s="1" t="s">
        <v>10</v>
      </c>
      <c r="C976" s="1" t="s">
        <v>14</v>
      </c>
      <c r="D976" s="2">
        <v>46074.0</v>
      </c>
      <c r="E976" s="2">
        <v>46078.0</v>
      </c>
      <c r="F976" s="1">
        <v>6988.0</v>
      </c>
    </row>
    <row r="977">
      <c r="A977" s="1" t="s">
        <v>807</v>
      </c>
      <c r="B977" s="1" t="s">
        <v>19</v>
      </c>
      <c r="C977" s="1" t="s">
        <v>16</v>
      </c>
      <c r="D977" s="2">
        <v>46060.0</v>
      </c>
      <c r="E977" s="2">
        <v>46062.0</v>
      </c>
      <c r="F977" s="1">
        <v>5237.0</v>
      </c>
    </row>
    <row r="978">
      <c r="A978" s="1" t="s">
        <v>232</v>
      </c>
      <c r="B978" s="1" t="s">
        <v>19</v>
      </c>
      <c r="C978" s="1" t="s">
        <v>11</v>
      </c>
      <c r="D978" s="2">
        <v>46045.0</v>
      </c>
      <c r="E978" s="2">
        <v>46051.0</v>
      </c>
      <c r="F978" s="1">
        <v>7025.0</v>
      </c>
    </row>
    <row r="979">
      <c r="A979" s="1" t="s">
        <v>666</v>
      </c>
      <c r="B979" s="1" t="s">
        <v>19</v>
      </c>
      <c r="C979" s="1" t="s">
        <v>16</v>
      </c>
      <c r="D979" s="2">
        <v>46062.0</v>
      </c>
      <c r="E979" s="2">
        <v>46064.0</v>
      </c>
      <c r="F979" s="1">
        <v>4350.0</v>
      </c>
    </row>
    <row r="980">
      <c r="A980" s="1" t="s">
        <v>236</v>
      </c>
      <c r="B980" s="1" t="s">
        <v>19</v>
      </c>
      <c r="C980" s="1" t="s">
        <v>14</v>
      </c>
      <c r="D980" s="2">
        <v>46050.0</v>
      </c>
      <c r="E980" s="2">
        <v>46054.0</v>
      </c>
      <c r="F980" s="1">
        <v>1189.0</v>
      </c>
    </row>
    <row r="981">
      <c r="A981" s="1" t="s">
        <v>290</v>
      </c>
      <c r="B981" s="1" t="s">
        <v>19</v>
      </c>
      <c r="C981" s="1" t="s">
        <v>14</v>
      </c>
      <c r="D981" s="2">
        <v>46062.0</v>
      </c>
      <c r="E981" s="3">
        <v>46066.0</v>
      </c>
      <c r="F981" s="1">
        <v>10642.0</v>
      </c>
    </row>
    <row r="982">
      <c r="A982" s="1" t="s">
        <v>702</v>
      </c>
      <c r="B982" s="1" t="s">
        <v>13</v>
      </c>
      <c r="C982" s="1" t="s">
        <v>16</v>
      </c>
      <c r="D982" s="2">
        <v>46073.0</v>
      </c>
      <c r="E982" s="2">
        <v>46075.0</v>
      </c>
      <c r="F982" s="1">
        <v>5675.0</v>
      </c>
    </row>
    <row r="983">
      <c r="A983" s="1" t="s">
        <v>102</v>
      </c>
      <c r="B983" s="1" t="s">
        <v>13</v>
      </c>
      <c r="C983" s="1" t="s">
        <v>14</v>
      </c>
      <c r="D983" s="2">
        <v>46075.0</v>
      </c>
      <c r="E983" s="2">
        <v>46080.0</v>
      </c>
      <c r="F983" s="1">
        <v>9148.0</v>
      </c>
    </row>
    <row r="984">
      <c r="A984" s="1" t="s">
        <v>179</v>
      </c>
      <c r="B984" s="1" t="s">
        <v>19</v>
      </c>
      <c r="C984" s="1" t="s">
        <v>11</v>
      </c>
      <c r="D984" s="2">
        <v>46074.0</v>
      </c>
      <c r="E984" s="2">
        <v>46080.0</v>
      </c>
      <c r="F984" s="1">
        <v>5578.0</v>
      </c>
    </row>
    <row r="985">
      <c r="A985" s="1" t="s">
        <v>265</v>
      </c>
      <c r="B985" s="1" t="s">
        <v>19</v>
      </c>
      <c r="C985" s="1" t="s">
        <v>11</v>
      </c>
      <c r="D985" s="3">
        <v>46059.0</v>
      </c>
      <c r="E985" s="2">
        <v>46065.0</v>
      </c>
      <c r="F985" s="1">
        <v>10822.0</v>
      </c>
    </row>
    <row r="986">
      <c r="A986" s="1" t="s">
        <v>197</v>
      </c>
      <c r="B986" s="1" t="s">
        <v>13</v>
      </c>
      <c r="C986" s="1" t="s">
        <v>14</v>
      </c>
      <c r="D986" s="2">
        <v>46057.0</v>
      </c>
      <c r="E986" s="2">
        <v>46062.0</v>
      </c>
      <c r="F986" s="1">
        <v>5948.0</v>
      </c>
    </row>
    <row r="987">
      <c r="A987" s="1" t="s">
        <v>591</v>
      </c>
      <c r="B987" s="1" t="s">
        <v>13</v>
      </c>
      <c r="C987" s="1" t="s">
        <v>14</v>
      </c>
      <c r="D987" s="2">
        <v>46061.0</v>
      </c>
      <c r="E987" s="2">
        <v>46065.0</v>
      </c>
      <c r="F987" s="1">
        <v>1679.0</v>
      </c>
    </row>
    <row r="988">
      <c r="A988" s="1" t="s">
        <v>95</v>
      </c>
      <c r="B988" s="1" t="s">
        <v>19</v>
      </c>
      <c r="C988" s="1" t="s">
        <v>14</v>
      </c>
      <c r="D988" s="2">
        <v>46033.0</v>
      </c>
      <c r="E988" s="2">
        <v>46037.0</v>
      </c>
      <c r="F988" s="1">
        <v>9574.0</v>
      </c>
    </row>
    <row r="989">
      <c r="A989" s="1" t="s">
        <v>179</v>
      </c>
      <c r="B989" s="1" t="s">
        <v>19</v>
      </c>
      <c r="C989" s="1" t="s">
        <v>14</v>
      </c>
      <c r="D989" s="2">
        <v>46068.0</v>
      </c>
      <c r="E989" s="2">
        <v>46072.0</v>
      </c>
      <c r="F989" s="1">
        <v>6906.0</v>
      </c>
    </row>
    <row r="990">
      <c r="A990" s="1" t="s">
        <v>15</v>
      </c>
      <c r="B990" s="1" t="s">
        <v>13</v>
      </c>
      <c r="C990" s="1" t="s">
        <v>11</v>
      </c>
      <c r="D990" s="2">
        <v>46041.0</v>
      </c>
      <c r="E990" s="2">
        <v>46047.0</v>
      </c>
      <c r="F990" s="1">
        <v>9091.0</v>
      </c>
    </row>
    <row r="991">
      <c r="A991" s="1" t="s">
        <v>444</v>
      </c>
      <c r="B991" s="1" t="s">
        <v>10</v>
      </c>
      <c r="C991" s="1" t="s">
        <v>11</v>
      </c>
      <c r="D991" s="2">
        <v>46040.0</v>
      </c>
      <c r="E991" s="2">
        <v>46047.0</v>
      </c>
      <c r="F991" s="1">
        <v>7407.0</v>
      </c>
    </row>
    <row r="992">
      <c r="A992" s="1" t="s">
        <v>487</v>
      </c>
      <c r="B992" s="1" t="s">
        <v>10</v>
      </c>
      <c r="C992" s="1" t="s">
        <v>14</v>
      </c>
      <c r="D992" s="2">
        <v>46080.0</v>
      </c>
      <c r="F992" s="1">
        <v>9300.0</v>
      </c>
    </row>
    <row r="993">
      <c r="A993" s="1" t="s">
        <v>731</v>
      </c>
      <c r="B993" s="1" t="s">
        <v>10</v>
      </c>
      <c r="C993" s="1" t="s">
        <v>16</v>
      </c>
      <c r="D993" s="2">
        <v>46075.0</v>
      </c>
      <c r="E993" s="2">
        <v>46077.0</v>
      </c>
      <c r="F993" s="1">
        <v>2138.0</v>
      </c>
    </row>
    <row r="994">
      <c r="A994" s="1" t="s">
        <v>634</v>
      </c>
      <c r="B994" s="1" t="s">
        <v>13</v>
      </c>
      <c r="C994" s="1" t="s">
        <v>16</v>
      </c>
      <c r="D994" s="3">
        <v>46031.0</v>
      </c>
      <c r="E994" s="2">
        <v>46033.0</v>
      </c>
      <c r="F994" s="1">
        <v>6171.0</v>
      </c>
    </row>
    <row r="995">
      <c r="A995" s="1" t="s">
        <v>507</v>
      </c>
      <c r="B995" s="1" t="s">
        <v>13</v>
      </c>
      <c r="C995" s="1" t="s">
        <v>11</v>
      </c>
      <c r="D995" s="2">
        <v>46073.0</v>
      </c>
      <c r="E995" s="3">
        <v>46079.0</v>
      </c>
      <c r="F995" s="1">
        <v>7428.0</v>
      </c>
    </row>
    <row r="996">
      <c r="A996" s="1" t="s">
        <v>323</v>
      </c>
      <c r="B996" s="1" t="s">
        <v>13</v>
      </c>
      <c r="C996" s="1" t="s">
        <v>16</v>
      </c>
      <c r="D996" s="2">
        <v>46081.0</v>
      </c>
      <c r="E996" s="2">
        <v>46083.0</v>
      </c>
      <c r="F996" s="1">
        <v>10840.0</v>
      </c>
    </row>
    <row r="997">
      <c r="A997" s="1" t="s">
        <v>48</v>
      </c>
      <c r="B997" s="1" t="s">
        <v>10</v>
      </c>
      <c r="C997" s="1" t="s">
        <v>14</v>
      </c>
      <c r="D997" s="2">
        <v>46040.0</v>
      </c>
      <c r="E997" s="2">
        <v>46044.0</v>
      </c>
      <c r="F997" s="1">
        <v>1882.0</v>
      </c>
    </row>
    <row r="998">
      <c r="A998" s="1" t="s">
        <v>257</v>
      </c>
      <c r="B998" s="1" t="s">
        <v>19</v>
      </c>
      <c r="C998" s="1" t="s">
        <v>16</v>
      </c>
      <c r="D998" s="2">
        <v>46031.0</v>
      </c>
      <c r="E998" s="2">
        <v>46035.0</v>
      </c>
      <c r="F998" s="1">
        <v>1903.0</v>
      </c>
    </row>
    <row r="999">
      <c r="A999" s="1" t="s">
        <v>318</v>
      </c>
      <c r="B999" s="1" t="s">
        <v>13</v>
      </c>
      <c r="C999" s="1" t="s">
        <v>11</v>
      </c>
      <c r="D999" s="2">
        <v>46078.0</v>
      </c>
      <c r="E999" s="2">
        <v>46084.0</v>
      </c>
      <c r="F999" s="1">
        <v>9511.0</v>
      </c>
    </row>
    <row r="1000">
      <c r="A1000" s="1" t="s">
        <v>749</v>
      </c>
      <c r="B1000" s="1" t="s">
        <v>13</v>
      </c>
      <c r="C1000" s="1" t="s">
        <v>14</v>
      </c>
      <c r="D1000" s="3">
        <v>46038.0</v>
      </c>
      <c r="E1000" s="3">
        <v>46045.0</v>
      </c>
      <c r="F1000" s="1">
        <v>3792.0</v>
      </c>
    </row>
    <row r="1001">
      <c r="A1001" s="1" t="s">
        <v>309</v>
      </c>
      <c r="B1001" s="1" t="s">
        <v>13</v>
      </c>
      <c r="C1001" s="1" t="s">
        <v>14</v>
      </c>
      <c r="D1001" s="2">
        <v>46068.0</v>
      </c>
      <c r="E1001" s="2">
        <v>46072.0</v>
      </c>
      <c r="F1001" s="1">
        <v>9511.0</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88"/>
    <col customWidth="1" min="2" max="2" width="11.63"/>
    <col customWidth="1" min="3" max="3" width="14.0"/>
    <col customWidth="1" min="4" max="4" width="11.88"/>
    <col customWidth="1" min="5" max="5" width="11.5"/>
    <col customWidth="1" min="6" max="6" width="14.38"/>
    <col customWidth="1" min="7" max="7" width="18.0"/>
    <col customWidth="1" min="8" max="8" width="9.75"/>
    <col customWidth="1" min="9" max="9" width="14.13"/>
    <col customWidth="1" min="10" max="10" width="15.5"/>
  </cols>
  <sheetData>
    <row r="1">
      <c r="A1" s="1" t="s">
        <v>3</v>
      </c>
      <c r="B1" s="1" t="s">
        <v>4</v>
      </c>
      <c r="C1" s="1" t="s">
        <v>5</v>
      </c>
      <c r="D1" s="4" t="s">
        <v>6</v>
      </c>
      <c r="E1" s="4" t="s">
        <v>7</v>
      </c>
      <c r="F1" s="1" t="s">
        <v>71</v>
      </c>
      <c r="G1" s="1" t="s">
        <v>72</v>
      </c>
      <c r="H1" s="1" t="s">
        <v>73</v>
      </c>
      <c r="I1" s="1" t="s">
        <v>8</v>
      </c>
      <c r="J1" s="1" t="s">
        <v>75</v>
      </c>
    </row>
    <row r="2">
      <c r="A2" s="5" t="str">
        <f>Raw_Data!A2</f>
        <v>TRK100000</v>
      </c>
      <c r="B2" s="5" t="str">
        <f>TRIM(Raw_Data!B2)</f>
        <v>EcomExpress</v>
      </c>
      <c r="C2" s="5" t="str">
        <f>TRIM(Raw_Data!C2)</f>
        <v>Tier 3</v>
      </c>
      <c r="D2" s="6">
        <f>DATEVALUE(TEXT(Raw_Data!D2, "YYYY-MM-DD"))</f>
        <v>46058</v>
      </c>
      <c r="E2" s="6">
        <f>IF(ISBLANK(Raw_Data!E2), "", DATEVALUE(TEXT(Raw_Data!E2, "YYYY-MM-DD")))</f>
        <v>46064</v>
      </c>
      <c r="F2" s="5">
        <f t="shared" ref="F2:F1001" si="1">IF(C2="Metro", 2, IF(C2="Tier 2", 4, 6))</f>
        <v>6</v>
      </c>
      <c r="G2" s="5">
        <f t="shared" ref="G2:G1001" si="2">IF(E2="", "In-Transit", NETWORKDAYS(D2, E2))</f>
        <v>5</v>
      </c>
      <c r="H2" s="5" t="str">
        <f t="shared" ref="H2:H1001" si="3">IF(G2="In-Transit", "Pending", IF(G2&gt;F2, "SLA BREACH", "ON TIME"))</f>
        <v>ON TIME</v>
      </c>
      <c r="I2" s="5">
        <f>Raw_Data!F2</f>
        <v>8482</v>
      </c>
      <c r="J2" s="5">
        <f t="shared" ref="J2:J1001" si="4">IF(H2="SLA BREACH", I2 * 0.05, 0)</f>
        <v>0</v>
      </c>
    </row>
    <row r="3">
      <c r="A3" s="5" t="str">
        <f>Raw_Data!A3</f>
        <v>TRK100001</v>
      </c>
      <c r="B3" s="5" t="str">
        <f>TRIM(Raw_Data!B3)</f>
        <v>Delhivery</v>
      </c>
      <c r="C3" s="5" t="str">
        <f>TRIM(Raw_Data!C3)</f>
        <v>Tier 2</v>
      </c>
      <c r="D3" s="6">
        <f>DATEVALUE(TEXT(Raw_Data!D3, "YYYY-MM-DD"))</f>
        <v>46068</v>
      </c>
      <c r="E3" s="6">
        <f>IF(ISBLANK(Raw_Data!E3), "", DATEVALUE(TEXT(Raw_Data!E3, "YYYY-MM-DD")))</f>
        <v>46075</v>
      </c>
      <c r="F3" s="5">
        <f t="shared" si="1"/>
        <v>4</v>
      </c>
      <c r="G3" s="5">
        <f t="shared" si="2"/>
        <v>5</v>
      </c>
      <c r="H3" s="5" t="str">
        <f t="shared" si="3"/>
        <v>SLA BREACH</v>
      </c>
      <c r="I3" s="5">
        <f>Raw_Data!F3</f>
        <v>4607</v>
      </c>
      <c r="J3" s="5">
        <f t="shared" si="4"/>
        <v>230.35</v>
      </c>
    </row>
    <row r="4">
      <c r="A4" s="5" t="str">
        <f>Raw_Data!A4</f>
        <v>TRK100002</v>
      </c>
      <c r="B4" s="5" t="str">
        <f>TRIM(Raw_Data!B4)</f>
        <v>Delhivery</v>
      </c>
      <c r="C4" s="5" t="str">
        <f>TRIM(Raw_Data!C4)</f>
        <v>Metro</v>
      </c>
      <c r="D4" s="6">
        <f>DATEVALUE(TEXT(Raw_Data!D4, "YYYY-MM-DD"))</f>
        <v>46077</v>
      </c>
      <c r="E4" s="6">
        <f>IF(ISBLANK(Raw_Data!E4), "", DATEVALUE(TEXT(Raw_Data!E4, "YYYY-MM-DD")))</f>
        <v>46080</v>
      </c>
      <c r="F4" s="5">
        <f t="shared" si="1"/>
        <v>2</v>
      </c>
      <c r="G4" s="5">
        <f t="shared" si="2"/>
        <v>4</v>
      </c>
      <c r="H4" s="5" t="str">
        <f t="shared" si="3"/>
        <v>SLA BREACH</v>
      </c>
      <c r="I4" s="5">
        <f>Raw_Data!F4</f>
        <v>1841</v>
      </c>
      <c r="J4" s="5">
        <f t="shared" si="4"/>
        <v>92.05</v>
      </c>
    </row>
    <row r="5">
      <c r="A5" s="5" t="str">
        <f>Raw_Data!A5</f>
        <v>TRK100003</v>
      </c>
      <c r="B5" s="5" t="str">
        <f>TRIM(Raw_Data!B5)</f>
        <v>EcomExpress</v>
      </c>
      <c r="C5" s="5" t="str">
        <f>TRIM(Raw_Data!C5)</f>
        <v>Tier 3</v>
      </c>
      <c r="D5" s="6">
        <f>DATEVALUE(TEXT(Raw_Data!D5, "YYYY-MM-DD"))</f>
        <v>46041</v>
      </c>
      <c r="E5" s="6">
        <f>IF(ISBLANK(Raw_Data!E5), "", DATEVALUE(TEXT(Raw_Data!E5, "YYYY-MM-DD")))</f>
        <v>46047</v>
      </c>
      <c r="F5" s="5">
        <f t="shared" si="1"/>
        <v>6</v>
      </c>
      <c r="G5" s="5">
        <f t="shared" si="2"/>
        <v>5</v>
      </c>
      <c r="H5" s="5" t="str">
        <f t="shared" si="3"/>
        <v>ON TIME</v>
      </c>
      <c r="I5" s="5">
        <f>Raw_Data!F5</f>
        <v>8907</v>
      </c>
      <c r="J5" s="5">
        <f t="shared" si="4"/>
        <v>0</v>
      </c>
    </row>
    <row r="6">
      <c r="A6" s="5" t="str">
        <f>Raw_Data!A6</f>
        <v>TRK100004</v>
      </c>
      <c r="B6" s="5" t="str">
        <f>TRIM(Raw_Data!B6)</f>
        <v>BlueDart</v>
      </c>
      <c r="C6" s="5" t="str">
        <f>TRIM(Raw_Data!C6)</f>
        <v>Metro</v>
      </c>
      <c r="D6" s="6">
        <f>DATEVALUE(TEXT(Raw_Data!D6, "YYYY-MM-DD"))</f>
        <v>46071</v>
      </c>
      <c r="E6" s="6">
        <f>IF(ISBLANK(Raw_Data!E6), "", DATEVALUE(TEXT(Raw_Data!E6, "YYYY-MM-DD")))</f>
        <v>46073</v>
      </c>
      <c r="F6" s="5">
        <f t="shared" si="1"/>
        <v>2</v>
      </c>
      <c r="G6" s="5">
        <f t="shared" si="2"/>
        <v>3</v>
      </c>
      <c r="H6" s="5" t="str">
        <f t="shared" si="3"/>
        <v>SLA BREACH</v>
      </c>
      <c r="I6" s="5">
        <f>Raw_Data!F6</f>
        <v>838</v>
      </c>
      <c r="J6" s="5">
        <f t="shared" si="4"/>
        <v>41.9</v>
      </c>
    </row>
    <row r="7">
      <c r="A7" s="5" t="str">
        <f>Raw_Data!A7</f>
        <v>TRK100005</v>
      </c>
      <c r="B7" s="5" t="str">
        <f>TRIM(Raw_Data!B7)</f>
        <v>Delhivery</v>
      </c>
      <c r="C7" s="5" t="str">
        <f>TRIM(Raw_Data!C7)</f>
        <v>Tier 2</v>
      </c>
      <c r="D7" s="6">
        <f>DATEVALUE(TEXT(Raw_Data!D7, "YYYY-MM-DD"))</f>
        <v>46040</v>
      </c>
      <c r="E7" s="6">
        <f>IF(ISBLANK(Raw_Data!E7), "", DATEVALUE(TEXT(Raw_Data!E7, "YYYY-MM-DD")))</f>
        <v>46044</v>
      </c>
      <c r="F7" s="5">
        <f t="shared" si="1"/>
        <v>4</v>
      </c>
      <c r="G7" s="5">
        <f t="shared" si="2"/>
        <v>4</v>
      </c>
      <c r="H7" s="5" t="str">
        <f t="shared" si="3"/>
        <v>ON TIME</v>
      </c>
      <c r="I7" s="5">
        <f>Raw_Data!F7</f>
        <v>6395</v>
      </c>
      <c r="J7" s="5">
        <f t="shared" si="4"/>
        <v>0</v>
      </c>
    </row>
    <row r="8">
      <c r="A8" s="5" t="str">
        <f>Raw_Data!A8</f>
        <v>TRK100006</v>
      </c>
      <c r="B8" s="5" t="str">
        <f>TRIM(Raw_Data!B8)</f>
        <v>Delhivery</v>
      </c>
      <c r="C8" s="5" t="str">
        <f>TRIM(Raw_Data!C8)</f>
        <v>Tier 3</v>
      </c>
      <c r="D8" s="6">
        <f>DATEVALUE(TEXT(Raw_Data!D8, "YYYY-MM-DD"))</f>
        <v>46080</v>
      </c>
      <c r="E8" s="6">
        <f>IF(ISBLANK(Raw_Data!E8), "", DATEVALUE(TEXT(Raw_Data!E8, "YYYY-MM-DD")))</f>
        <v>46086</v>
      </c>
      <c r="F8" s="5">
        <f t="shared" si="1"/>
        <v>6</v>
      </c>
      <c r="G8" s="5">
        <f t="shared" si="2"/>
        <v>5</v>
      </c>
      <c r="H8" s="5" t="str">
        <f t="shared" si="3"/>
        <v>ON TIME</v>
      </c>
      <c r="I8" s="5">
        <f>Raw_Data!F8</f>
        <v>3208</v>
      </c>
      <c r="J8" s="5">
        <f t="shared" si="4"/>
        <v>0</v>
      </c>
    </row>
    <row r="9">
      <c r="A9" s="5" t="str">
        <f>Raw_Data!A9</f>
        <v>TRK100007</v>
      </c>
      <c r="B9" s="5" t="str">
        <f>TRIM(Raw_Data!B9)</f>
        <v>Delhivery</v>
      </c>
      <c r="C9" s="5" t="str">
        <f>TRIM(Raw_Data!C9)</f>
        <v>Tier 3</v>
      </c>
      <c r="D9" s="6">
        <f>DATEVALUE(TEXT(Raw_Data!D9, "YYYY-MM-DD"))</f>
        <v>46032</v>
      </c>
      <c r="E9" s="6">
        <f>IF(ISBLANK(Raw_Data!E9), "", DATEVALUE(TEXT(Raw_Data!E9, "YYYY-MM-DD")))</f>
        <v>46040</v>
      </c>
      <c r="F9" s="5">
        <f t="shared" si="1"/>
        <v>6</v>
      </c>
      <c r="G9" s="5">
        <f t="shared" si="2"/>
        <v>5</v>
      </c>
      <c r="H9" s="5" t="str">
        <f t="shared" si="3"/>
        <v>ON TIME</v>
      </c>
      <c r="I9" s="5">
        <f>Raw_Data!F9</f>
        <v>11844</v>
      </c>
      <c r="J9" s="5">
        <f t="shared" si="4"/>
        <v>0</v>
      </c>
    </row>
    <row r="10">
      <c r="A10" s="5" t="str">
        <f>Raw_Data!A10</f>
        <v>TRK100008</v>
      </c>
      <c r="B10" s="5" t="str">
        <f>TRIM(Raw_Data!B10)</f>
        <v>EcomExpress</v>
      </c>
      <c r="C10" s="5" t="str">
        <f>TRIM(Raw_Data!C10)</f>
        <v>Tier 3</v>
      </c>
      <c r="D10" s="6">
        <f>DATEVALUE(TEXT(Raw_Data!D10, "YYYY-MM-DD"))</f>
        <v>46028</v>
      </c>
      <c r="E10" s="6">
        <f>IF(ISBLANK(Raw_Data!E10), "", DATEVALUE(TEXT(Raw_Data!E10, "YYYY-MM-DD")))</f>
        <v>46034</v>
      </c>
      <c r="F10" s="5">
        <f t="shared" si="1"/>
        <v>6</v>
      </c>
      <c r="G10" s="5">
        <f t="shared" si="2"/>
        <v>5</v>
      </c>
      <c r="H10" s="5" t="str">
        <f t="shared" si="3"/>
        <v>ON TIME</v>
      </c>
      <c r="I10" s="5">
        <f>Raw_Data!F10</f>
        <v>2250</v>
      </c>
      <c r="J10" s="5">
        <f t="shared" si="4"/>
        <v>0</v>
      </c>
    </row>
    <row r="11">
      <c r="A11" s="5" t="str">
        <f>Raw_Data!A11</f>
        <v>TRK100009</v>
      </c>
      <c r="B11" s="5" t="str">
        <f>TRIM(Raw_Data!B11)</f>
        <v>Delhivery</v>
      </c>
      <c r="C11" s="5" t="str">
        <f>TRIM(Raw_Data!C11)</f>
        <v>Metro</v>
      </c>
      <c r="D11" s="6">
        <f>DATEVALUE(TEXT(Raw_Data!D11, "YYYY-MM-DD"))</f>
        <v>46075</v>
      </c>
      <c r="E11" s="6">
        <f>IF(ISBLANK(Raw_Data!E11), "", DATEVALUE(TEXT(Raw_Data!E11, "YYYY-MM-DD")))</f>
        <v>46078</v>
      </c>
      <c r="F11" s="5">
        <f t="shared" si="1"/>
        <v>2</v>
      </c>
      <c r="G11" s="5">
        <f t="shared" si="2"/>
        <v>3</v>
      </c>
      <c r="H11" s="5" t="str">
        <f t="shared" si="3"/>
        <v>SLA BREACH</v>
      </c>
      <c r="I11" s="5">
        <f>Raw_Data!F11</f>
        <v>6104</v>
      </c>
      <c r="J11" s="5">
        <f t="shared" si="4"/>
        <v>305.2</v>
      </c>
    </row>
    <row r="12">
      <c r="A12" s="5" t="str">
        <f>Raw_Data!A12</f>
        <v>TRK100010</v>
      </c>
      <c r="B12" s="5" t="str">
        <f>TRIM(Raw_Data!B12)</f>
        <v>EcomExpress</v>
      </c>
      <c r="C12" s="5" t="str">
        <f>TRIM(Raw_Data!C12)</f>
        <v>Tier 2</v>
      </c>
      <c r="D12" s="6">
        <f>DATEVALUE(TEXT(Raw_Data!D12, "YYYY-MM-DD"))</f>
        <v>46079</v>
      </c>
      <c r="E12" s="6">
        <f>IF(ISBLANK(Raw_Data!E12), "", DATEVALUE(TEXT(Raw_Data!E12, "YYYY-MM-DD")))</f>
        <v>46083</v>
      </c>
      <c r="F12" s="5">
        <f t="shared" si="1"/>
        <v>4</v>
      </c>
      <c r="G12" s="5">
        <f t="shared" si="2"/>
        <v>3</v>
      </c>
      <c r="H12" s="5" t="str">
        <f t="shared" si="3"/>
        <v>ON TIME</v>
      </c>
      <c r="I12" s="5">
        <f>Raw_Data!F12</f>
        <v>2921</v>
      </c>
      <c r="J12" s="5">
        <f t="shared" si="4"/>
        <v>0</v>
      </c>
    </row>
    <row r="13">
      <c r="A13" s="5" t="str">
        <f>Raw_Data!A13</f>
        <v>TRK100011</v>
      </c>
      <c r="B13" s="5" t="str">
        <f>TRIM(Raw_Data!B13)</f>
        <v>EcomExpress</v>
      </c>
      <c r="C13" s="5" t="str">
        <f>TRIM(Raw_Data!C13)</f>
        <v>Metro</v>
      </c>
      <c r="D13" s="6">
        <f>DATEVALUE(TEXT(Raw_Data!D13, "YYYY-MM-DD"))</f>
        <v>46082</v>
      </c>
      <c r="E13" s="6">
        <f>IF(ISBLANK(Raw_Data!E13), "", DATEVALUE(TEXT(Raw_Data!E13, "YYYY-MM-DD")))</f>
        <v>46087</v>
      </c>
      <c r="F13" s="5">
        <f t="shared" si="1"/>
        <v>2</v>
      </c>
      <c r="G13" s="5">
        <f t="shared" si="2"/>
        <v>5</v>
      </c>
      <c r="H13" s="5" t="str">
        <f t="shared" si="3"/>
        <v>SLA BREACH</v>
      </c>
      <c r="I13" s="5">
        <f>Raw_Data!F13</f>
        <v>7619</v>
      </c>
      <c r="J13" s="5">
        <f t="shared" si="4"/>
        <v>380.95</v>
      </c>
    </row>
    <row r="14">
      <c r="A14" s="5" t="str">
        <f>Raw_Data!A14</f>
        <v>TRK100012</v>
      </c>
      <c r="B14" s="5" t="str">
        <f>TRIM(Raw_Data!B14)</f>
        <v>EcomExpress</v>
      </c>
      <c r="C14" s="5" t="str">
        <f>TRIM(Raw_Data!C14)</f>
        <v>Tier 3</v>
      </c>
      <c r="D14" s="6">
        <f>DATEVALUE(TEXT(Raw_Data!D14, "YYYY-MM-DD"))</f>
        <v>46049</v>
      </c>
      <c r="E14" s="6">
        <f>IF(ISBLANK(Raw_Data!E14), "", DATEVALUE(TEXT(Raw_Data!E14, "YYYY-MM-DD")))</f>
        <v>46057</v>
      </c>
      <c r="F14" s="5">
        <f t="shared" si="1"/>
        <v>6</v>
      </c>
      <c r="G14" s="5">
        <f t="shared" si="2"/>
        <v>7</v>
      </c>
      <c r="H14" s="5" t="str">
        <f t="shared" si="3"/>
        <v>SLA BREACH</v>
      </c>
      <c r="I14" s="5">
        <f>Raw_Data!F14</f>
        <v>9401</v>
      </c>
      <c r="J14" s="5">
        <f t="shared" si="4"/>
        <v>470.05</v>
      </c>
    </row>
    <row r="15">
      <c r="A15" s="5" t="str">
        <f>Raw_Data!A15</f>
        <v>TRK100013</v>
      </c>
      <c r="B15" s="5" t="str">
        <f>TRIM(Raw_Data!B15)</f>
        <v>Delhivery</v>
      </c>
      <c r="C15" s="5" t="str">
        <f>TRIM(Raw_Data!C15)</f>
        <v>Metro</v>
      </c>
      <c r="D15" s="6">
        <f>DATEVALUE(TEXT(Raw_Data!D15, "YYYY-MM-DD"))</f>
        <v>46048</v>
      </c>
      <c r="E15" s="6">
        <f>IF(ISBLANK(Raw_Data!E15), "", DATEVALUE(TEXT(Raw_Data!E15, "YYYY-MM-DD")))</f>
        <v>46050</v>
      </c>
      <c r="F15" s="5">
        <f t="shared" si="1"/>
        <v>2</v>
      </c>
      <c r="G15" s="5">
        <f t="shared" si="2"/>
        <v>3</v>
      </c>
      <c r="H15" s="5" t="str">
        <f t="shared" si="3"/>
        <v>SLA BREACH</v>
      </c>
      <c r="I15" s="5">
        <f>Raw_Data!F15</f>
        <v>5819</v>
      </c>
      <c r="J15" s="5">
        <f t="shared" si="4"/>
        <v>290.95</v>
      </c>
    </row>
    <row r="16">
      <c r="A16" s="5" t="str">
        <f>Raw_Data!A16</f>
        <v>TRK100014</v>
      </c>
      <c r="B16" s="5" t="str">
        <f>TRIM(Raw_Data!B16)</f>
        <v>EcomExpress</v>
      </c>
      <c r="C16" s="5" t="str">
        <f>TRIM(Raw_Data!C16)</f>
        <v>Tier 3</v>
      </c>
      <c r="D16" s="6">
        <f>DATEVALUE(TEXT(Raw_Data!D16, "YYYY-MM-DD"))</f>
        <v>46046</v>
      </c>
      <c r="E16" s="6">
        <f>IF(ISBLANK(Raw_Data!E16), "", DATEVALUE(TEXT(Raw_Data!E16, "YYYY-MM-DD")))</f>
        <v>46052</v>
      </c>
      <c r="F16" s="5">
        <f t="shared" si="1"/>
        <v>6</v>
      </c>
      <c r="G16" s="5">
        <f t="shared" si="2"/>
        <v>5</v>
      </c>
      <c r="H16" s="5" t="str">
        <f t="shared" si="3"/>
        <v>ON TIME</v>
      </c>
      <c r="I16" s="5">
        <f>Raw_Data!F16</f>
        <v>7109</v>
      </c>
      <c r="J16" s="5">
        <f t="shared" si="4"/>
        <v>0</v>
      </c>
    </row>
    <row r="17">
      <c r="A17" s="5" t="str">
        <f>Raw_Data!A17</f>
        <v>TRK100015</v>
      </c>
      <c r="B17" s="5" t="str">
        <f>TRIM(Raw_Data!B17)</f>
        <v>BlueDart</v>
      </c>
      <c r="C17" s="5" t="str">
        <f>TRIM(Raw_Data!C17)</f>
        <v>Metro</v>
      </c>
      <c r="D17" s="6">
        <f>DATEVALUE(TEXT(Raw_Data!D17, "YYYY-MM-DD"))</f>
        <v>46047</v>
      </c>
      <c r="E17" s="6">
        <f>IF(ISBLANK(Raw_Data!E17), "", DATEVALUE(TEXT(Raw_Data!E17, "YYYY-MM-DD")))</f>
        <v>46049</v>
      </c>
      <c r="F17" s="5">
        <f t="shared" si="1"/>
        <v>2</v>
      </c>
      <c r="G17" s="5">
        <f t="shared" si="2"/>
        <v>2</v>
      </c>
      <c r="H17" s="5" t="str">
        <f t="shared" si="3"/>
        <v>ON TIME</v>
      </c>
      <c r="I17" s="5">
        <f>Raw_Data!F17</f>
        <v>5887</v>
      </c>
      <c r="J17" s="5">
        <f t="shared" si="4"/>
        <v>0</v>
      </c>
    </row>
    <row r="18">
      <c r="A18" s="5" t="str">
        <f>Raw_Data!A18</f>
        <v>TRK100016</v>
      </c>
      <c r="B18" s="5" t="str">
        <f>TRIM(Raw_Data!B18)</f>
        <v>Delhivery</v>
      </c>
      <c r="C18" s="5" t="str">
        <f>TRIM(Raw_Data!C18)</f>
        <v>Tier 2</v>
      </c>
      <c r="D18" s="6">
        <f>DATEVALUE(TEXT(Raw_Data!D18, "YYYY-MM-DD"))</f>
        <v>46046</v>
      </c>
      <c r="E18" s="6">
        <f>IF(ISBLANK(Raw_Data!E18), "", DATEVALUE(TEXT(Raw_Data!E18, "YYYY-MM-DD")))</f>
        <v>46050</v>
      </c>
      <c r="F18" s="5">
        <f t="shared" si="1"/>
        <v>4</v>
      </c>
      <c r="G18" s="5">
        <f t="shared" si="2"/>
        <v>3</v>
      </c>
      <c r="H18" s="5" t="str">
        <f t="shared" si="3"/>
        <v>ON TIME</v>
      </c>
      <c r="I18" s="5">
        <f>Raw_Data!F18</f>
        <v>4493</v>
      </c>
      <c r="J18" s="5">
        <f t="shared" si="4"/>
        <v>0</v>
      </c>
    </row>
    <row r="19">
      <c r="A19" s="5" t="str">
        <f>Raw_Data!A19</f>
        <v>TRK100017</v>
      </c>
      <c r="B19" s="5" t="str">
        <f>TRIM(Raw_Data!B19)</f>
        <v>Delhivery</v>
      </c>
      <c r="C19" s="5" t="str">
        <f>TRIM(Raw_Data!C19)</f>
        <v>Metro</v>
      </c>
      <c r="D19" s="6">
        <f>DATEVALUE(TEXT(Raw_Data!D19, "YYYY-MM-DD"))</f>
        <v>46024</v>
      </c>
      <c r="E19" s="6">
        <f>IF(ISBLANK(Raw_Data!E19), "", DATEVALUE(TEXT(Raw_Data!E19, "YYYY-MM-DD")))</f>
        <v>46026</v>
      </c>
      <c r="F19" s="5">
        <f t="shared" si="1"/>
        <v>2</v>
      </c>
      <c r="G19" s="5">
        <f t="shared" si="2"/>
        <v>1</v>
      </c>
      <c r="H19" s="5" t="str">
        <f t="shared" si="3"/>
        <v>ON TIME</v>
      </c>
      <c r="I19" s="5">
        <f>Raw_Data!F19</f>
        <v>9180</v>
      </c>
      <c r="J19" s="5">
        <f t="shared" si="4"/>
        <v>0</v>
      </c>
    </row>
    <row r="20">
      <c r="A20" s="5" t="str">
        <f>Raw_Data!A20</f>
        <v>TRK100018</v>
      </c>
      <c r="B20" s="5" t="str">
        <f>TRIM(Raw_Data!B20)</f>
        <v>Delhivery</v>
      </c>
      <c r="C20" s="5" t="str">
        <f>TRIM(Raw_Data!C20)</f>
        <v>Metro</v>
      </c>
      <c r="D20" s="6">
        <f>DATEVALUE(TEXT(Raw_Data!D20, "YYYY-MM-DD"))</f>
        <v>46082</v>
      </c>
      <c r="E20" s="6">
        <f>IF(ISBLANK(Raw_Data!E20), "", DATEVALUE(TEXT(Raw_Data!E20, "YYYY-MM-DD")))</f>
        <v>46084</v>
      </c>
      <c r="F20" s="5">
        <f t="shared" si="1"/>
        <v>2</v>
      </c>
      <c r="G20" s="5">
        <f t="shared" si="2"/>
        <v>2</v>
      </c>
      <c r="H20" s="5" t="str">
        <f t="shared" si="3"/>
        <v>ON TIME</v>
      </c>
      <c r="I20" s="5">
        <f>Raw_Data!F20</f>
        <v>8544</v>
      </c>
      <c r="J20" s="5">
        <f t="shared" si="4"/>
        <v>0</v>
      </c>
    </row>
    <row r="21">
      <c r="A21" s="5" t="str">
        <f>Raw_Data!A21</f>
        <v>TRK100019</v>
      </c>
      <c r="B21" s="5" t="str">
        <f>TRIM(Raw_Data!B21)</f>
        <v>Delhivery</v>
      </c>
      <c r="C21" s="5" t="str">
        <f>TRIM(Raw_Data!C21)</f>
        <v>Metro</v>
      </c>
      <c r="D21" s="6">
        <f>DATEVALUE(TEXT(Raw_Data!D21, "YYYY-MM-DD"))</f>
        <v>46076</v>
      </c>
      <c r="E21" s="6" t="str">
        <f>IF(ISBLANK(Raw_Data!E21), "", DATEVALUE(TEXT(Raw_Data!E21, "YYYY-MM-DD")))</f>
        <v/>
      </c>
      <c r="F21" s="5">
        <f t="shared" si="1"/>
        <v>2</v>
      </c>
      <c r="G21" s="5" t="str">
        <f t="shared" si="2"/>
        <v>In-Transit</v>
      </c>
      <c r="H21" s="5" t="str">
        <f t="shared" si="3"/>
        <v>Pending</v>
      </c>
      <c r="I21" s="5">
        <f>Raw_Data!F21</f>
        <v>8738</v>
      </c>
      <c r="J21" s="5">
        <f t="shared" si="4"/>
        <v>0</v>
      </c>
    </row>
    <row r="22">
      <c r="A22" s="5" t="str">
        <f>Raw_Data!A22</f>
        <v>TRK100020</v>
      </c>
      <c r="B22" s="5" t="str">
        <f>TRIM(Raw_Data!B22)</f>
        <v>Delhivery</v>
      </c>
      <c r="C22" s="5" t="str">
        <f>TRIM(Raw_Data!C22)</f>
        <v>Metro</v>
      </c>
      <c r="D22" s="6">
        <f>DATEVALUE(TEXT(Raw_Data!D22, "YYYY-MM-DD"))</f>
        <v>46064</v>
      </c>
      <c r="E22" s="6">
        <f>IF(ISBLANK(Raw_Data!E22), "", DATEVALUE(TEXT(Raw_Data!E22, "YYYY-MM-DD")))</f>
        <v>46066</v>
      </c>
      <c r="F22" s="5">
        <f t="shared" si="1"/>
        <v>2</v>
      </c>
      <c r="G22" s="5">
        <f t="shared" si="2"/>
        <v>3</v>
      </c>
      <c r="H22" s="5" t="str">
        <f t="shared" si="3"/>
        <v>SLA BREACH</v>
      </c>
      <c r="I22" s="5">
        <f>Raw_Data!F22</f>
        <v>5373</v>
      </c>
      <c r="J22" s="5">
        <f t="shared" si="4"/>
        <v>268.65</v>
      </c>
    </row>
    <row r="23">
      <c r="A23" s="5" t="str">
        <f>Raw_Data!A23</f>
        <v>TRK100021</v>
      </c>
      <c r="B23" s="5" t="str">
        <f>TRIM(Raw_Data!B23)</f>
        <v>EcomExpress</v>
      </c>
      <c r="C23" s="5" t="str">
        <f>TRIM(Raw_Data!C23)</f>
        <v>Tier 2</v>
      </c>
      <c r="D23" s="6">
        <f>DATEVALUE(TEXT(Raw_Data!D23, "YYYY-MM-DD"))</f>
        <v>46073</v>
      </c>
      <c r="E23" s="6">
        <f>IF(ISBLANK(Raw_Data!E23), "", DATEVALUE(TEXT(Raw_Data!E23, "YYYY-MM-DD")))</f>
        <v>46077</v>
      </c>
      <c r="F23" s="5">
        <f t="shared" si="1"/>
        <v>4</v>
      </c>
      <c r="G23" s="5">
        <f t="shared" si="2"/>
        <v>3</v>
      </c>
      <c r="H23" s="5" t="str">
        <f t="shared" si="3"/>
        <v>ON TIME</v>
      </c>
      <c r="I23" s="5">
        <f>Raw_Data!F23</f>
        <v>5306</v>
      </c>
      <c r="J23" s="5">
        <f t="shared" si="4"/>
        <v>0</v>
      </c>
    </row>
    <row r="24">
      <c r="A24" s="5" t="str">
        <f>Raw_Data!A24</f>
        <v>TRK100022</v>
      </c>
      <c r="B24" s="5" t="str">
        <f>TRIM(Raw_Data!B24)</f>
        <v>EcomExpress</v>
      </c>
      <c r="C24" s="5" t="str">
        <f>TRIM(Raw_Data!C24)</f>
        <v>Tier 3</v>
      </c>
      <c r="D24" s="6">
        <f>DATEVALUE(TEXT(Raw_Data!D24, "YYYY-MM-DD"))</f>
        <v>46031</v>
      </c>
      <c r="E24" s="6">
        <f>IF(ISBLANK(Raw_Data!E24), "", DATEVALUE(TEXT(Raw_Data!E24, "YYYY-MM-DD")))</f>
        <v>46037</v>
      </c>
      <c r="F24" s="5">
        <f t="shared" si="1"/>
        <v>6</v>
      </c>
      <c r="G24" s="5">
        <f t="shared" si="2"/>
        <v>5</v>
      </c>
      <c r="H24" s="5" t="str">
        <f t="shared" si="3"/>
        <v>ON TIME</v>
      </c>
      <c r="I24" s="5">
        <f>Raw_Data!F24</f>
        <v>9092</v>
      </c>
      <c r="J24" s="5">
        <f t="shared" si="4"/>
        <v>0</v>
      </c>
    </row>
    <row r="25">
      <c r="A25" s="5" t="str">
        <f>Raw_Data!A25</f>
        <v>TRK100023</v>
      </c>
      <c r="B25" s="5" t="str">
        <f>TRIM(Raw_Data!B25)</f>
        <v>Delhivery</v>
      </c>
      <c r="C25" s="5" t="str">
        <f>TRIM(Raw_Data!C25)</f>
        <v>Tier 3</v>
      </c>
      <c r="D25" s="6">
        <f>DATEVALUE(TEXT(Raw_Data!D25, "YYYY-MM-DD"))</f>
        <v>46041</v>
      </c>
      <c r="E25" s="6">
        <f>IF(ISBLANK(Raw_Data!E25), "", DATEVALUE(TEXT(Raw_Data!E25, "YYYY-MM-DD")))</f>
        <v>46047</v>
      </c>
      <c r="F25" s="5">
        <f t="shared" si="1"/>
        <v>6</v>
      </c>
      <c r="G25" s="5">
        <f t="shared" si="2"/>
        <v>5</v>
      </c>
      <c r="H25" s="5" t="str">
        <f t="shared" si="3"/>
        <v>ON TIME</v>
      </c>
      <c r="I25" s="5">
        <f>Raw_Data!F25</f>
        <v>6413</v>
      </c>
      <c r="J25" s="5">
        <f t="shared" si="4"/>
        <v>0</v>
      </c>
    </row>
    <row r="26">
      <c r="A26" s="5" t="str">
        <f>Raw_Data!A26</f>
        <v>TRK100024</v>
      </c>
      <c r="B26" s="5" t="str">
        <f>TRIM(Raw_Data!B26)</f>
        <v>EcomExpress</v>
      </c>
      <c r="C26" s="5" t="str">
        <f>TRIM(Raw_Data!C26)</f>
        <v>Tier 3</v>
      </c>
      <c r="D26" s="6">
        <f>DATEVALUE(TEXT(Raw_Data!D26, "YYYY-MM-DD"))</f>
        <v>46067</v>
      </c>
      <c r="E26" s="6">
        <f>IF(ISBLANK(Raw_Data!E26), "", DATEVALUE(TEXT(Raw_Data!E26, "YYYY-MM-DD")))</f>
        <v>46073</v>
      </c>
      <c r="F26" s="5">
        <f t="shared" si="1"/>
        <v>6</v>
      </c>
      <c r="G26" s="5">
        <f t="shared" si="2"/>
        <v>5</v>
      </c>
      <c r="H26" s="5" t="str">
        <f t="shared" si="3"/>
        <v>ON TIME</v>
      </c>
      <c r="I26" s="5">
        <f>Raw_Data!F26</f>
        <v>7624</v>
      </c>
      <c r="J26" s="5">
        <f t="shared" si="4"/>
        <v>0</v>
      </c>
    </row>
    <row r="27">
      <c r="A27" s="5" t="str">
        <f>Raw_Data!A27</f>
        <v>TRK100025</v>
      </c>
      <c r="B27" s="5" t="str">
        <f>TRIM(Raw_Data!B27)</f>
        <v>Delhivery</v>
      </c>
      <c r="C27" s="5" t="str">
        <f>TRIM(Raw_Data!C27)</f>
        <v>Tier 2</v>
      </c>
      <c r="D27" s="6">
        <f>DATEVALUE(TEXT(Raw_Data!D27, "YYYY-MM-DD"))</f>
        <v>46071</v>
      </c>
      <c r="E27" s="6">
        <f>IF(ISBLANK(Raw_Data!E27), "", DATEVALUE(TEXT(Raw_Data!E27, "YYYY-MM-DD")))</f>
        <v>46076</v>
      </c>
      <c r="F27" s="5">
        <f t="shared" si="1"/>
        <v>4</v>
      </c>
      <c r="G27" s="5">
        <f t="shared" si="2"/>
        <v>4</v>
      </c>
      <c r="H27" s="5" t="str">
        <f t="shared" si="3"/>
        <v>ON TIME</v>
      </c>
      <c r="I27" s="5">
        <f>Raw_Data!F27</f>
        <v>3657</v>
      </c>
      <c r="J27" s="5">
        <f t="shared" si="4"/>
        <v>0</v>
      </c>
    </row>
    <row r="28">
      <c r="A28" s="5" t="str">
        <f>Raw_Data!A28</f>
        <v>TRK100026</v>
      </c>
      <c r="B28" s="5" t="str">
        <f>TRIM(Raw_Data!B28)</f>
        <v>EcomExpress</v>
      </c>
      <c r="C28" s="5" t="str">
        <f>TRIM(Raw_Data!C28)</f>
        <v>Tier 2</v>
      </c>
      <c r="D28" s="6">
        <f>DATEVALUE(TEXT(Raw_Data!D28, "YYYY-MM-DD"))</f>
        <v>46053</v>
      </c>
      <c r="E28" s="6">
        <f>IF(ISBLANK(Raw_Data!E28), "", DATEVALUE(TEXT(Raw_Data!E28, "YYYY-MM-DD")))</f>
        <v>46057</v>
      </c>
      <c r="F28" s="5">
        <f t="shared" si="1"/>
        <v>4</v>
      </c>
      <c r="G28" s="5">
        <f t="shared" si="2"/>
        <v>3</v>
      </c>
      <c r="H28" s="5" t="str">
        <f t="shared" si="3"/>
        <v>ON TIME</v>
      </c>
      <c r="I28" s="5">
        <f>Raw_Data!F28</f>
        <v>890</v>
      </c>
      <c r="J28" s="5">
        <f t="shared" si="4"/>
        <v>0</v>
      </c>
    </row>
    <row r="29">
      <c r="A29" s="5" t="str">
        <f>Raw_Data!A29</f>
        <v>TRK100027</v>
      </c>
      <c r="B29" s="5" t="str">
        <f>TRIM(Raw_Data!B29)</f>
        <v>EcomExpress</v>
      </c>
      <c r="C29" s="5" t="str">
        <f>TRIM(Raw_Data!C29)</f>
        <v>Metro</v>
      </c>
      <c r="D29" s="6">
        <f>DATEVALUE(TEXT(Raw_Data!D29, "YYYY-MM-DD"))</f>
        <v>46062</v>
      </c>
      <c r="E29" s="6">
        <f>IF(ISBLANK(Raw_Data!E29), "", DATEVALUE(TEXT(Raw_Data!E29, "YYYY-MM-DD")))</f>
        <v>46064</v>
      </c>
      <c r="F29" s="5">
        <f t="shared" si="1"/>
        <v>2</v>
      </c>
      <c r="G29" s="5">
        <f t="shared" si="2"/>
        <v>3</v>
      </c>
      <c r="H29" s="5" t="str">
        <f t="shared" si="3"/>
        <v>SLA BREACH</v>
      </c>
      <c r="I29" s="5">
        <f>Raw_Data!F29</f>
        <v>4930</v>
      </c>
      <c r="J29" s="5">
        <f t="shared" si="4"/>
        <v>246.5</v>
      </c>
    </row>
    <row r="30">
      <c r="A30" s="5" t="str">
        <f>Raw_Data!A30</f>
        <v>TRK100028</v>
      </c>
      <c r="B30" s="5" t="str">
        <f>TRIM(Raw_Data!B30)</f>
        <v>EcomExpress</v>
      </c>
      <c r="C30" s="5" t="str">
        <f>TRIM(Raw_Data!C30)</f>
        <v>Tier 2</v>
      </c>
      <c r="D30" s="6">
        <f>DATEVALUE(TEXT(Raw_Data!D30, "YYYY-MM-DD"))</f>
        <v>46080</v>
      </c>
      <c r="E30" s="6">
        <f>IF(ISBLANK(Raw_Data!E30), "", DATEVALUE(TEXT(Raw_Data!E30, "YYYY-MM-DD")))</f>
        <v>46084</v>
      </c>
      <c r="F30" s="5">
        <f t="shared" si="1"/>
        <v>4</v>
      </c>
      <c r="G30" s="5">
        <f t="shared" si="2"/>
        <v>3</v>
      </c>
      <c r="H30" s="5" t="str">
        <f t="shared" si="3"/>
        <v>ON TIME</v>
      </c>
      <c r="I30" s="5">
        <f>Raw_Data!F30</f>
        <v>9320</v>
      </c>
      <c r="J30" s="5">
        <f t="shared" si="4"/>
        <v>0</v>
      </c>
    </row>
    <row r="31">
      <c r="A31" s="5" t="str">
        <f>Raw_Data!A31</f>
        <v>TRK100029</v>
      </c>
      <c r="B31" s="5" t="str">
        <f>TRIM(Raw_Data!B31)</f>
        <v>EcomExpress</v>
      </c>
      <c r="C31" s="5" t="str">
        <f>TRIM(Raw_Data!C31)</f>
        <v>Tier 3</v>
      </c>
      <c r="D31" s="6">
        <f>DATEVALUE(TEXT(Raw_Data!D31, "YYYY-MM-DD"))</f>
        <v>46024</v>
      </c>
      <c r="E31" s="6">
        <f>IF(ISBLANK(Raw_Data!E31), "", DATEVALUE(TEXT(Raw_Data!E31, "YYYY-MM-DD")))</f>
        <v>46030</v>
      </c>
      <c r="F31" s="5">
        <f t="shared" si="1"/>
        <v>6</v>
      </c>
      <c r="G31" s="5">
        <f t="shared" si="2"/>
        <v>5</v>
      </c>
      <c r="H31" s="5" t="str">
        <f t="shared" si="3"/>
        <v>ON TIME</v>
      </c>
      <c r="I31" s="5">
        <f>Raw_Data!F31</f>
        <v>8186</v>
      </c>
      <c r="J31" s="5">
        <f t="shared" si="4"/>
        <v>0</v>
      </c>
    </row>
    <row r="32">
      <c r="A32" s="5" t="str">
        <f>Raw_Data!A32</f>
        <v>TRK100030</v>
      </c>
      <c r="B32" s="5" t="str">
        <f>TRIM(Raw_Data!B32)</f>
        <v>BlueDart</v>
      </c>
      <c r="C32" s="5" t="str">
        <f>TRIM(Raw_Data!C32)</f>
        <v>Tier 2</v>
      </c>
      <c r="D32" s="6">
        <f>DATEVALUE(TEXT(Raw_Data!D32, "YYYY-MM-DD"))</f>
        <v>46036</v>
      </c>
      <c r="E32" s="6">
        <f>IF(ISBLANK(Raw_Data!E32), "", DATEVALUE(TEXT(Raw_Data!E32, "YYYY-MM-DD")))</f>
        <v>46040</v>
      </c>
      <c r="F32" s="5">
        <f t="shared" si="1"/>
        <v>4</v>
      </c>
      <c r="G32" s="5">
        <f t="shared" si="2"/>
        <v>3</v>
      </c>
      <c r="H32" s="5" t="str">
        <f t="shared" si="3"/>
        <v>ON TIME</v>
      </c>
      <c r="I32" s="5">
        <f>Raw_Data!F32</f>
        <v>4732</v>
      </c>
      <c r="J32" s="5">
        <f t="shared" si="4"/>
        <v>0</v>
      </c>
    </row>
    <row r="33">
      <c r="A33" s="5" t="str">
        <f>Raw_Data!A33</f>
        <v>TRK100031</v>
      </c>
      <c r="B33" s="5" t="str">
        <f>TRIM(Raw_Data!B33)</f>
        <v>Delhivery</v>
      </c>
      <c r="C33" s="5" t="str">
        <f>TRIM(Raw_Data!C33)</f>
        <v>Tier 3</v>
      </c>
      <c r="D33" s="6">
        <f>DATEVALUE(TEXT(Raw_Data!D33, "YYYY-MM-DD"))</f>
        <v>46058</v>
      </c>
      <c r="E33" s="6">
        <f>IF(ISBLANK(Raw_Data!E33), "", DATEVALUE(TEXT(Raw_Data!E33, "YYYY-MM-DD")))</f>
        <v>46064</v>
      </c>
      <c r="F33" s="5">
        <f t="shared" si="1"/>
        <v>6</v>
      </c>
      <c r="G33" s="5">
        <f t="shared" si="2"/>
        <v>5</v>
      </c>
      <c r="H33" s="5" t="str">
        <f t="shared" si="3"/>
        <v>ON TIME</v>
      </c>
      <c r="I33" s="5">
        <f>Raw_Data!F33</f>
        <v>11622</v>
      </c>
      <c r="J33" s="5">
        <f t="shared" si="4"/>
        <v>0</v>
      </c>
    </row>
    <row r="34">
      <c r="A34" s="5" t="str">
        <f>Raw_Data!A34</f>
        <v>TRK100032</v>
      </c>
      <c r="B34" s="5" t="str">
        <f>TRIM(Raw_Data!B34)</f>
        <v>BlueDart</v>
      </c>
      <c r="C34" s="5" t="str">
        <f>TRIM(Raw_Data!C34)</f>
        <v>Tier 2</v>
      </c>
      <c r="D34" s="6">
        <f>DATEVALUE(TEXT(Raw_Data!D34, "YYYY-MM-DD"))</f>
        <v>46061</v>
      </c>
      <c r="E34" s="6">
        <f>IF(ISBLANK(Raw_Data!E34), "", DATEVALUE(TEXT(Raw_Data!E34, "YYYY-MM-DD")))</f>
        <v>46065</v>
      </c>
      <c r="F34" s="5">
        <f t="shared" si="1"/>
        <v>4</v>
      </c>
      <c r="G34" s="5">
        <f t="shared" si="2"/>
        <v>4</v>
      </c>
      <c r="H34" s="5" t="str">
        <f t="shared" si="3"/>
        <v>ON TIME</v>
      </c>
      <c r="I34" s="5">
        <f>Raw_Data!F34</f>
        <v>8507</v>
      </c>
      <c r="J34" s="5">
        <f t="shared" si="4"/>
        <v>0</v>
      </c>
    </row>
    <row r="35">
      <c r="A35" s="5" t="str">
        <f>Raw_Data!A35</f>
        <v>TRK100033</v>
      </c>
      <c r="B35" s="5" t="str">
        <f>TRIM(Raw_Data!B35)</f>
        <v>EcomExpress</v>
      </c>
      <c r="C35" s="5" t="str">
        <f>TRIM(Raw_Data!C35)</f>
        <v>Tier 2</v>
      </c>
      <c r="D35" s="6">
        <f>DATEVALUE(TEXT(Raw_Data!D35, "YYYY-MM-DD"))</f>
        <v>46050</v>
      </c>
      <c r="E35" s="6">
        <f>IF(ISBLANK(Raw_Data!E35), "", DATEVALUE(TEXT(Raw_Data!E35, "YYYY-MM-DD")))</f>
        <v>46057</v>
      </c>
      <c r="F35" s="5">
        <f t="shared" si="1"/>
        <v>4</v>
      </c>
      <c r="G35" s="5">
        <f t="shared" si="2"/>
        <v>6</v>
      </c>
      <c r="H35" s="5" t="str">
        <f t="shared" si="3"/>
        <v>SLA BREACH</v>
      </c>
      <c r="I35" s="5">
        <f>Raw_Data!F35</f>
        <v>2021</v>
      </c>
      <c r="J35" s="5">
        <f t="shared" si="4"/>
        <v>101.05</v>
      </c>
    </row>
    <row r="36">
      <c r="A36" s="5" t="str">
        <f>Raw_Data!A36</f>
        <v>TRK100034</v>
      </c>
      <c r="B36" s="5" t="str">
        <f>TRIM(Raw_Data!B36)</f>
        <v>BlueDart</v>
      </c>
      <c r="C36" s="5" t="str">
        <f>TRIM(Raw_Data!C36)</f>
        <v>Tier 3</v>
      </c>
      <c r="D36" s="6">
        <f>DATEVALUE(TEXT(Raw_Data!D36, "YYYY-MM-DD"))</f>
        <v>46072</v>
      </c>
      <c r="E36" s="6">
        <f>IF(ISBLANK(Raw_Data!E36), "", DATEVALUE(TEXT(Raw_Data!E36, "YYYY-MM-DD")))</f>
        <v>46081</v>
      </c>
      <c r="F36" s="5">
        <f t="shared" si="1"/>
        <v>6</v>
      </c>
      <c r="G36" s="5">
        <f t="shared" si="2"/>
        <v>7</v>
      </c>
      <c r="H36" s="5" t="str">
        <f t="shared" si="3"/>
        <v>SLA BREACH</v>
      </c>
      <c r="I36" s="5">
        <f>Raw_Data!F36</f>
        <v>9518</v>
      </c>
      <c r="J36" s="5">
        <f t="shared" si="4"/>
        <v>475.9</v>
      </c>
    </row>
    <row r="37">
      <c r="A37" s="5" t="str">
        <f>Raw_Data!A37</f>
        <v>TRK100035</v>
      </c>
      <c r="B37" s="5" t="str">
        <f>TRIM(Raw_Data!B37)</f>
        <v>Delhivery</v>
      </c>
      <c r="C37" s="5" t="str">
        <f>TRIM(Raw_Data!C37)</f>
        <v>Tier 3</v>
      </c>
      <c r="D37" s="6">
        <f>DATEVALUE(TEXT(Raw_Data!D37, "YYYY-MM-DD"))</f>
        <v>46038</v>
      </c>
      <c r="E37" s="6">
        <f>IF(ISBLANK(Raw_Data!E37), "", DATEVALUE(TEXT(Raw_Data!E37, "YYYY-MM-DD")))</f>
        <v>46045</v>
      </c>
      <c r="F37" s="5">
        <f t="shared" si="1"/>
        <v>6</v>
      </c>
      <c r="G37" s="5">
        <f t="shared" si="2"/>
        <v>6</v>
      </c>
      <c r="H37" s="5" t="str">
        <f t="shared" si="3"/>
        <v>ON TIME</v>
      </c>
      <c r="I37" s="5">
        <f>Raw_Data!F37</f>
        <v>2000</v>
      </c>
      <c r="J37" s="5">
        <f t="shared" si="4"/>
        <v>0</v>
      </c>
    </row>
    <row r="38">
      <c r="A38" s="5" t="str">
        <f>Raw_Data!A38</f>
        <v>TRK100036</v>
      </c>
      <c r="B38" s="5" t="str">
        <f>TRIM(Raw_Data!B38)</f>
        <v>Delhivery</v>
      </c>
      <c r="C38" s="5" t="str">
        <f>TRIM(Raw_Data!C38)</f>
        <v>Tier 2</v>
      </c>
      <c r="D38" s="6">
        <f>DATEVALUE(TEXT(Raw_Data!D38, "YYYY-MM-DD"))</f>
        <v>46030</v>
      </c>
      <c r="E38" s="6">
        <f>IF(ISBLANK(Raw_Data!E38), "", DATEVALUE(TEXT(Raw_Data!E38, "YYYY-MM-DD")))</f>
        <v>46034</v>
      </c>
      <c r="F38" s="5">
        <f t="shared" si="1"/>
        <v>4</v>
      </c>
      <c r="G38" s="5">
        <f t="shared" si="2"/>
        <v>3</v>
      </c>
      <c r="H38" s="5" t="str">
        <f t="shared" si="3"/>
        <v>ON TIME</v>
      </c>
      <c r="I38" s="5">
        <f>Raw_Data!F38</f>
        <v>7237</v>
      </c>
      <c r="J38" s="5">
        <f t="shared" si="4"/>
        <v>0</v>
      </c>
    </row>
    <row r="39">
      <c r="A39" s="5" t="str">
        <f>Raw_Data!A39</f>
        <v>TRK100037</v>
      </c>
      <c r="B39" s="5" t="str">
        <f>TRIM(Raw_Data!B39)</f>
        <v>EcomExpress</v>
      </c>
      <c r="C39" s="5" t="str">
        <f>TRIM(Raw_Data!C39)</f>
        <v>Tier 2</v>
      </c>
      <c r="D39" s="6">
        <f>DATEVALUE(TEXT(Raw_Data!D39, "YYYY-MM-DD"))</f>
        <v>46038</v>
      </c>
      <c r="E39" s="6">
        <f>IF(ISBLANK(Raw_Data!E39), "", DATEVALUE(TEXT(Raw_Data!E39, "YYYY-MM-DD")))</f>
        <v>46042</v>
      </c>
      <c r="F39" s="5">
        <f t="shared" si="1"/>
        <v>4</v>
      </c>
      <c r="G39" s="5">
        <f t="shared" si="2"/>
        <v>3</v>
      </c>
      <c r="H39" s="5" t="str">
        <f t="shared" si="3"/>
        <v>ON TIME</v>
      </c>
      <c r="I39" s="5">
        <f>Raw_Data!F39</f>
        <v>3794</v>
      </c>
      <c r="J39" s="5">
        <f t="shared" si="4"/>
        <v>0</v>
      </c>
    </row>
    <row r="40">
      <c r="A40" s="5" t="str">
        <f>Raw_Data!A40</f>
        <v>TRK100038</v>
      </c>
      <c r="B40" s="5" t="str">
        <f>TRIM(Raw_Data!B40)</f>
        <v>BlueDart</v>
      </c>
      <c r="C40" s="5" t="str">
        <f>TRIM(Raw_Data!C40)</f>
        <v>Metro</v>
      </c>
      <c r="D40" s="6">
        <f>DATEVALUE(TEXT(Raw_Data!D40, "YYYY-MM-DD"))</f>
        <v>46063</v>
      </c>
      <c r="E40" s="6">
        <f>IF(ISBLANK(Raw_Data!E40), "", DATEVALUE(TEXT(Raw_Data!E40, "YYYY-MM-DD")))</f>
        <v>46065</v>
      </c>
      <c r="F40" s="5">
        <f t="shared" si="1"/>
        <v>2</v>
      </c>
      <c r="G40" s="5">
        <f t="shared" si="2"/>
        <v>3</v>
      </c>
      <c r="H40" s="5" t="str">
        <f t="shared" si="3"/>
        <v>SLA BREACH</v>
      </c>
      <c r="I40" s="5">
        <f>Raw_Data!F40</f>
        <v>5585</v>
      </c>
      <c r="J40" s="5">
        <f t="shared" si="4"/>
        <v>279.25</v>
      </c>
    </row>
    <row r="41">
      <c r="A41" s="5" t="str">
        <f>Raw_Data!A41</f>
        <v>TRK100039</v>
      </c>
      <c r="B41" s="5" t="str">
        <f>TRIM(Raw_Data!B41)</f>
        <v>BlueDart</v>
      </c>
      <c r="C41" s="5" t="str">
        <f>TRIM(Raw_Data!C41)</f>
        <v>Tier 3</v>
      </c>
      <c r="D41" s="6">
        <f>DATEVALUE(TEXT(Raw_Data!D41, "YYYY-MM-DD"))</f>
        <v>46062</v>
      </c>
      <c r="E41" s="6">
        <f>IF(ISBLANK(Raw_Data!E41), "", DATEVALUE(TEXT(Raw_Data!E41, "YYYY-MM-DD")))</f>
        <v>46068</v>
      </c>
      <c r="F41" s="5">
        <f t="shared" si="1"/>
        <v>6</v>
      </c>
      <c r="G41" s="5">
        <f t="shared" si="2"/>
        <v>5</v>
      </c>
      <c r="H41" s="5" t="str">
        <f t="shared" si="3"/>
        <v>ON TIME</v>
      </c>
      <c r="I41" s="5">
        <f>Raw_Data!F41</f>
        <v>2919</v>
      </c>
      <c r="J41" s="5">
        <f t="shared" si="4"/>
        <v>0</v>
      </c>
    </row>
    <row r="42">
      <c r="A42" s="5" t="str">
        <f>Raw_Data!A42</f>
        <v>TRK100040</v>
      </c>
      <c r="B42" s="5" t="str">
        <f>TRIM(Raw_Data!B42)</f>
        <v>BlueDart</v>
      </c>
      <c r="C42" s="5" t="str">
        <f>TRIM(Raw_Data!C42)</f>
        <v>Metro</v>
      </c>
      <c r="D42" s="6">
        <f>DATEVALUE(TEXT(Raw_Data!D42, "YYYY-MM-DD"))</f>
        <v>46027</v>
      </c>
      <c r="E42" s="6">
        <f>IF(ISBLANK(Raw_Data!E42), "", DATEVALUE(TEXT(Raw_Data!E42, "YYYY-MM-DD")))</f>
        <v>46029</v>
      </c>
      <c r="F42" s="5">
        <f t="shared" si="1"/>
        <v>2</v>
      </c>
      <c r="G42" s="5">
        <f t="shared" si="2"/>
        <v>3</v>
      </c>
      <c r="H42" s="5" t="str">
        <f t="shared" si="3"/>
        <v>SLA BREACH</v>
      </c>
      <c r="I42" s="5">
        <f>Raw_Data!F42</f>
        <v>9626</v>
      </c>
      <c r="J42" s="5">
        <f t="shared" si="4"/>
        <v>481.3</v>
      </c>
    </row>
    <row r="43">
      <c r="A43" s="5" t="str">
        <f>Raw_Data!A43</f>
        <v>TRK100041</v>
      </c>
      <c r="B43" s="5" t="str">
        <f>TRIM(Raw_Data!B43)</f>
        <v>Delhivery</v>
      </c>
      <c r="C43" s="5" t="str">
        <f>TRIM(Raw_Data!C43)</f>
        <v>Tier 2</v>
      </c>
      <c r="D43" s="6">
        <f>DATEVALUE(TEXT(Raw_Data!D43, "YYYY-MM-DD"))</f>
        <v>46076</v>
      </c>
      <c r="E43" s="6">
        <f>IF(ISBLANK(Raw_Data!E43), "", DATEVALUE(TEXT(Raw_Data!E43, "YYYY-MM-DD")))</f>
        <v>46080</v>
      </c>
      <c r="F43" s="5">
        <f t="shared" si="1"/>
        <v>4</v>
      </c>
      <c r="G43" s="5">
        <f t="shared" si="2"/>
        <v>5</v>
      </c>
      <c r="H43" s="5" t="str">
        <f t="shared" si="3"/>
        <v>SLA BREACH</v>
      </c>
      <c r="I43" s="5">
        <f>Raw_Data!F43</f>
        <v>3542</v>
      </c>
      <c r="J43" s="5">
        <f t="shared" si="4"/>
        <v>177.1</v>
      </c>
    </row>
    <row r="44">
      <c r="A44" s="5" t="str">
        <f>Raw_Data!A44</f>
        <v>TRK100042</v>
      </c>
      <c r="B44" s="5" t="str">
        <f>TRIM(Raw_Data!B44)</f>
        <v>Delhivery</v>
      </c>
      <c r="C44" s="5" t="str">
        <f>TRIM(Raw_Data!C44)</f>
        <v>Tier 3</v>
      </c>
      <c r="D44" s="6">
        <f>DATEVALUE(TEXT(Raw_Data!D44, "YYYY-MM-DD"))</f>
        <v>46061</v>
      </c>
      <c r="E44" s="6">
        <f>IF(ISBLANK(Raw_Data!E44), "", DATEVALUE(TEXT(Raw_Data!E44, "YYYY-MM-DD")))</f>
        <v>46067</v>
      </c>
      <c r="F44" s="5">
        <f t="shared" si="1"/>
        <v>6</v>
      </c>
      <c r="G44" s="5">
        <f t="shared" si="2"/>
        <v>5</v>
      </c>
      <c r="H44" s="5" t="str">
        <f t="shared" si="3"/>
        <v>ON TIME</v>
      </c>
      <c r="I44" s="5">
        <f>Raw_Data!F44</f>
        <v>4997</v>
      </c>
      <c r="J44" s="5">
        <f t="shared" si="4"/>
        <v>0</v>
      </c>
    </row>
    <row r="45">
      <c r="A45" s="5" t="str">
        <f>Raw_Data!A45</f>
        <v>TRK100043</v>
      </c>
      <c r="B45" s="5" t="str">
        <f>TRIM(Raw_Data!B45)</f>
        <v>BlueDart</v>
      </c>
      <c r="C45" s="5" t="str">
        <f>TRIM(Raw_Data!C45)</f>
        <v>Tier 2</v>
      </c>
      <c r="D45" s="6">
        <f>DATEVALUE(TEXT(Raw_Data!D45, "YYYY-MM-DD"))</f>
        <v>46024</v>
      </c>
      <c r="E45" s="6">
        <f>IF(ISBLANK(Raw_Data!E45), "", DATEVALUE(TEXT(Raw_Data!E45, "YYYY-MM-DD")))</f>
        <v>46030</v>
      </c>
      <c r="F45" s="5">
        <f t="shared" si="1"/>
        <v>4</v>
      </c>
      <c r="G45" s="5">
        <f t="shared" si="2"/>
        <v>5</v>
      </c>
      <c r="H45" s="5" t="str">
        <f t="shared" si="3"/>
        <v>SLA BREACH</v>
      </c>
      <c r="I45" s="5">
        <f>Raw_Data!F45</f>
        <v>1966</v>
      </c>
      <c r="J45" s="5">
        <f t="shared" si="4"/>
        <v>98.3</v>
      </c>
    </row>
    <row r="46">
      <c r="A46" s="5" t="str">
        <f>Raw_Data!A46</f>
        <v>TRK100044</v>
      </c>
      <c r="B46" s="5" t="str">
        <f>TRIM(Raw_Data!B46)</f>
        <v>Delhivery</v>
      </c>
      <c r="C46" s="5" t="str">
        <f>TRIM(Raw_Data!C46)</f>
        <v>Tier 3</v>
      </c>
      <c r="D46" s="6">
        <f>DATEVALUE(TEXT(Raw_Data!D46, "YYYY-MM-DD"))</f>
        <v>46055</v>
      </c>
      <c r="E46" s="6" t="str">
        <f>IF(ISBLANK(Raw_Data!E46), "", DATEVALUE(TEXT(Raw_Data!E46, "YYYY-MM-DD")))</f>
        <v/>
      </c>
      <c r="F46" s="5">
        <f t="shared" si="1"/>
        <v>6</v>
      </c>
      <c r="G46" s="5" t="str">
        <f t="shared" si="2"/>
        <v>In-Transit</v>
      </c>
      <c r="H46" s="5" t="str">
        <f t="shared" si="3"/>
        <v>Pending</v>
      </c>
      <c r="I46" s="5">
        <f>Raw_Data!F46</f>
        <v>4061</v>
      </c>
      <c r="J46" s="5">
        <f t="shared" si="4"/>
        <v>0</v>
      </c>
    </row>
    <row r="47">
      <c r="A47" s="5" t="str">
        <f>Raw_Data!A47</f>
        <v>TRK100045</v>
      </c>
      <c r="B47" s="5" t="str">
        <f>TRIM(Raw_Data!B47)</f>
        <v>Delhivery</v>
      </c>
      <c r="C47" s="5" t="str">
        <f>TRIM(Raw_Data!C47)</f>
        <v>Tier 2</v>
      </c>
      <c r="D47" s="6">
        <f>DATEVALUE(TEXT(Raw_Data!D47, "YYYY-MM-DD"))</f>
        <v>46038</v>
      </c>
      <c r="E47" s="6">
        <f>IF(ISBLANK(Raw_Data!E47), "", DATEVALUE(TEXT(Raw_Data!E47, "YYYY-MM-DD")))</f>
        <v>46042</v>
      </c>
      <c r="F47" s="5">
        <f t="shared" si="1"/>
        <v>4</v>
      </c>
      <c r="G47" s="5">
        <f t="shared" si="2"/>
        <v>3</v>
      </c>
      <c r="H47" s="5" t="str">
        <f t="shared" si="3"/>
        <v>ON TIME</v>
      </c>
      <c r="I47" s="5">
        <f>Raw_Data!F47</f>
        <v>1114</v>
      </c>
      <c r="J47" s="5">
        <f t="shared" si="4"/>
        <v>0</v>
      </c>
    </row>
    <row r="48">
      <c r="A48" s="5" t="str">
        <f>Raw_Data!A48</f>
        <v>TRK100046</v>
      </c>
      <c r="B48" s="5" t="str">
        <f>TRIM(Raw_Data!B48)</f>
        <v>BlueDart</v>
      </c>
      <c r="C48" s="5" t="str">
        <f>TRIM(Raw_Data!C48)</f>
        <v>Metro</v>
      </c>
      <c r="D48" s="6">
        <f>DATEVALUE(TEXT(Raw_Data!D48, "YYYY-MM-DD"))</f>
        <v>46032</v>
      </c>
      <c r="E48" s="6">
        <f>IF(ISBLANK(Raw_Data!E48), "", DATEVALUE(TEXT(Raw_Data!E48, "YYYY-MM-DD")))</f>
        <v>46034</v>
      </c>
      <c r="F48" s="5">
        <f t="shared" si="1"/>
        <v>2</v>
      </c>
      <c r="G48" s="5">
        <f t="shared" si="2"/>
        <v>1</v>
      </c>
      <c r="H48" s="5" t="str">
        <f t="shared" si="3"/>
        <v>ON TIME</v>
      </c>
      <c r="I48" s="5">
        <f>Raw_Data!F48</f>
        <v>5892</v>
      </c>
      <c r="J48" s="5">
        <f t="shared" si="4"/>
        <v>0</v>
      </c>
    </row>
    <row r="49">
      <c r="A49" s="5" t="str">
        <f>Raw_Data!A49</f>
        <v>TRK100047</v>
      </c>
      <c r="B49" s="5" t="str">
        <f>TRIM(Raw_Data!B49)</f>
        <v>Delhivery</v>
      </c>
      <c r="C49" s="5" t="str">
        <f>TRIM(Raw_Data!C49)</f>
        <v>Metro</v>
      </c>
      <c r="D49" s="6">
        <f>DATEVALUE(TEXT(Raw_Data!D49, "YYYY-MM-DD"))</f>
        <v>46050</v>
      </c>
      <c r="E49" s="6">
        <f>IF(ISBLANK(Raw_Data!E49), "", DATEVALUE(TEXT(Raw_Data!E49, "YYYY-MM-DD")))</f>
        <v>46052</v>
      </c>
      <c r="F49" s="5">
        <f t="shared" si="1"/>
        <v>2</v>
      </c>
      <c r="G49" s="5">
        <f t="shared" si="2"/>
        <v>3</v>
      </c>
      <c r="H49" s="5" t="str">
        <f t="shared" si="3"/>
        <v>SLA BREACH</v>
      </c>
      <c r="I49" s="5">
        <f>Raw_Data!F49</f>
        <v>8193</v>
      </c>
      <c r="J49" s="5">
        <f t="shared" si="4"/>
        <v>409.65</v>
      </c>
    </row>
    <row r="50">
      <c r="A50" s="5" t="str">
        <f>Raw_Data!A50</f>
        <v>TRK100048</v>
      </c>
      <c r="B50" s="5" t="str">
        <f>TRIM(Raw_Data!B50)</f>
        <v>BlueDart</v>
      </c>
      <c r="C50" s="5" t="str">
        <f>TRIM(Raw_Data!C50)</f>
        <v>Metro</v>
      </c>
      <c r="D50" s="6">
        <f>DATEVALUE(TEXT(Raw_Data!D50, "YYYY-MM-DD"))</f>
        <v>46062</v>
      </c>
      <c r="E50" s="6">
        <f>IF(ISBLANK(Raw_Data!E50), "", DATEVALUE(TEXT(Raw_Data!E50, "YYYY-MM-DD")))</f>
        <v>46064</v>
      </c>
      <c r="F50" s="5">
        <f t="shared" si="1"/>
        <v>2</v>
      </c>
      <c r="G50" s="5">
        <f t="shared" si="2"/>
        <v>3</v>
      </c>
      <c r="H50" s="5" t="str">
        <f t="shared" si="3"/>
        <v>SLA BREACH</v>
      </c>
      <c r="I50" s="5">
        <f>Raw_Data!F50</f>
        <v>9874</v>
      </c>
      <c r="J50" s="5">
        <f t="shared" si="4"/>
        <v>493.7</v>
      </c>
    </row>
    <row r="51">
      <c r="A51" s="5" t="str">
        <f>Raw_Data!A51</f>
        <v>TRK100049</v>
      </c>
      <c r="B51" s="5" t="str">
        <f>TRIM(Raw_Data!B51)</f>
        <v>BlueDart</v>
      </c>
      <c r="C51" s="5" t="str">
        <f>TRIM(Raw_Data!C51)</f>
        <v>Tier 3</v>
      </c>
      <c r="D51" s="6">
        <f>DATEVALUE(TEXT(Raw_Data!D51, "YYYY-MM-DD"))</f>
        <v>46038</v>
      </c>
      <c r="E51" s="6">
        <f>IF(ISBLANK(Raw_Data!E51), "", DATEVALUE(TEXT(Raw_Data!E51, "YYYY-MM-DD")))</f>
        <v>46044</v>
      </c>
      <c r="F51" s="5">
        <f t="shared" si="1"/>
        <v>6</v>
      </c>
      <c r="G51" s="5">
        <f t="shared" si="2"/>
        <v>5</v>
      </c>
      <c r="H51" s="5" t="str">
        <f t="shared" si="3"/>
        <v>ON TIME</v>
      </c>
      <c r="I51" s="5">
        <f>Raw_Data!F51</f>
        <v>3723</v>
      </c>
      <c r="J51" s="5">
        <f t="shared" si="4"/>
        <v>0</v>
      </c>
    </row>
    <row r="52">
      <c r="A52" s="5" t="str">
        <f>Raw_Data!A52</f>
        <v>TRK100050</v>
      </c>
      <c r="B52" s="5" t="str">
        <f>TRIM(Raw_Data!B52)</f>
        <v>EcomExpress</v>
      </c>
      <c r="C52" s="5" t="str">
        <f>TRIM(Raw_Data!C52)</f>
        <v>Tier 3</v>
      </c>
      <c r="D52" s="6">
        <f>DATEVALUE(TEXT(Raw_Data!D52, "YYYY-MM-DD"))</f>
        <v>46049</v>
      </c>
      <c r="E52" s="6">
        <f>IF(ISBLANK(Raw_Data!E52), "", DATEVALUE(TEXT(Raw_Data!E52, "YYYY-MM-DD")))</f>
        <v>46058</v>
      </c>
      <c r="F52" s="5">
        <f t="shared" si="1"/>
        <v>6</v>
      </c>
      <c r="G52" s="5">
        <f t="shared" si="2"/>
        <v>8</v>
      </c>
      <c r="H52" s="5" t="str">
        <f t="shared" si="3"/>
        <v>SLA BREACH</v>
      </c>
      <c r="I52" s="5">
        <f>Raw_Data!F52</f>
        <v>7638</v>
      </c>
      <c r="J52" s="5">
        <f t="shared" si="4"/>
        <v>381.9</v>
      </c>
    </row>
    <row r="53">
      <c r="A53" s="5" t="str">
        <f>Raw_Data!A53</f>
        <v>TRK100051</v>
      </c>
      <c r="B53" s="5" t="str">
        <f>TRIM(Raw_Data!B53)</f>
        <v>BlueDart</v>
      </c>
      <c r="C53" s="5" t="str">
        <f>TRIM(Raw_Data!C53)</f>
        <v>Tier 3</v>
      </c>
      <c r="D53" s="6">
        <f>DATEVALUE(TEXT(Raw_Data!D53, "YYYY-MM-DD"))</f>
        <v>46065</v>
      </c>
      <c r="E53" s="6">
        <f>IF(ISBLANK(Raw_Data!E53), "", DATEVALUE(TEXT(Raw_Data!E53, "YYYY-MM-DD")))</f>
        <v>46072</v>
      </c>
      <c r="F53" s="5">
        <f t="shared" si="1"/>
        <v>6</v>
      </c>
      <c r="G53" s="5">
        <f t="shared" si="2"/>
        <v>6</v>
      </c>
      <c r="H53" s="5" t="str">
        <f t="shared" si="3"/>
        <v>ON TIME</v>
      </c>
      <c r="I53" s="5">
        <f>Raw_Data!F53</f>
        <v>3167</v>
      </c>
      <c r="J53" s="5">
        <f t="shared" si="4"/>
        <v>0</v>
      </c>
    </row>
    <row r="54">
      <c r="A54" s="5" t="str">
        <f>Raw_Data!A54</f>
        <v>TRK100052</v>
      </c>
      <c r="B54" s="5" t="str">
        <f>TRIM(Raw_Data!B54)</f>
        <v>Delhivery</v>
      </c>
      <c r="C54" s="5" t="str">
        <f>TRIM(Raw_Data!C54)</f>
        <v>Metro</v>
      </c>
      <c r="D54" s="6">
        <f>DATEVALUE(TEXT(Raw_Data!D54, "YYYY-MM-DD"))</f>
        <v>46028</v>
      </c>
      <c r="E54" s="6">
        <f>IF(ISBLANK(Raw_Data!E54), "", DATEVALUE(TEXT(Raw_Data!E54, "YYYY-MM-DD")))</f>
        <v>46033</v>
      </c>
      <c r="F54" s="5">
        <f t="shared" si="1"/>
        <v>2</v>
      </c>
      <c r="G54" s="5">
        <f t="shared" si="2"/>
        <v>4</v>
      </c>
      <c r="H54" s="5" t="str">
        <f t="shared" si="3"/>
        <v>SLA BREACH</v>
      </c>
      <c r="I54" s="5">
        <f>Raw_Data!F54</f>
        <v>8480</v>
      </c>
      <c r="J54" s="5">
        <f t="shared" si="4"/>
        <v>424</v>
      </c>
    </row>
    <row r="55">
      <c r="A55" s="5" t="str">
        <f>Raw_Data!A55</f>
        <v>TRK100053</v>
      </c>
      <c r="B55" s="5" t="str">
        <f>TRIM(Raw_Data!B55)</f>
        <v>EcomExpress</v>
      </c>
      <c r="C55" s="5" t="str">
        <f>TRIM(Raw_Data!C55)</f>
        <v>Tier 3</v>
      </c>
      <c r="D55" s="6">
        <f>DATEVALUE(TEXT(Raw_Data!D55, "YYYY-MM-DD"))</f>
        <v>46046</v>
      </c>
      <c r="E55" s="6">
        <f>IF(ISBLANK(Raw_Data!E55), "", DATEVALUE(TEXT(Raw_Data!E55, "YYYY-MM-DD")))</f>
        <v>46054</v>
      </c>
      <c r="F55" s="5">
        <f t="shared" si="1"/>
        <v>6</v>
      </c>
      <c r="G55" s="5">
        <f t="shared" si="2"/>
        <v>5</v>
      </c>
      <c r="H55" s="5" t="str">
        <f t="shared" si="3"/>
        <v>ON TIME</v>
      </c>
      <c r="I55" s="5">
        <f>Raw_Data!F55</f>
        <v>630</v>
      </c>
      <c r="J55" s="5">
        <f t="shared" si="4"/>
        <v>0</v>
      </c>
    </row>
    <row r="56">
      <c r="A56" s="5" t="str">
        <f>Raw_Data!A56</f>
        <v>TRK100054</v>
      </c>
      <c r="B56" s="5" t="str">
        <f>TRIM(Raw_Data!B56)</f>
        <v>BlueDart</v>
      </c>
      <c r="C56" s="5" t="str">
        <f>TRIM(Raw_Data!C56)</f>
        <v>Tier 2</v>
      </c>
      <c r="D56" s="6">
        <f>DATEVALUE(TEXT(Raw_Data!D56, "YYYY-MM-DD"))</f>
        <v>46056</v>
      </c>
      <c r="E56" s="6">
        <f>IF(ISBLANK(Raw_Data!E56), "", DATEVALUE(TEXT(Raw_Data!E56, "YYYY-MM-DD")))</f>
        <v>46060</v>
      </c>
      <c r="F56" s="5">
        <f t="shared" si="1"/>
        <v>4</v>
      </c>
      <c r="G56" s="5">
        <f t="shared" si="2"/>
        <v>4</v>
      </c>
      <c r="H56" s="5" t="str">
        <f t="shared" si="3"/>
        <v>ON TIME</v>
      </c>
      <c r="I56" s="5">
        <f>Raw_Data!F56</f>
        <v>3483</v>
      </c>
      <c r="J56" s="5">
        <f t="shared" si="4"/>
        <v>0</v>
      </c>
    </row>
    <row r="57">
      <c r="A57" s="5" t="str">
        <f>Raw_Data!A57</f>
        <v>TRK100055</v>
      </c>
      <c r="B57" s="5" t="str">
        <f>TRIM(Raw_Data!B57)</f>
        <v>EcomExpress</v>
      </c>
      <c r="C57" s="5" t="str">
        <f>TRIM(Raw_Data!C57)</f>
        <v>Tier 3</v>
      </c>
      <c r="D57" s="6">
        <f>DATEVALUE(TEXT(Raw_Data!D57, "YYYY-MM-DD"))</f>
        <v>46055</v>
      </c>
      <c r="E57" s="6">
        <f>IF(ISBLANK(Raw_Data!E57), "", DATEVALUE(TEXT(Raw_Data!E57, "YYYY-MM-DD")))</f>
        <v>46064</v>
      </c>
      <c r="F57" s="5">
        <f t="shared" si="1"/>
        <v>6</v>
      </c>
      <c r="G57" s="5">
        <f t="shared" si="2"/>
        <v>8</v>
      </c>
      <c r="H57" s="5" t="str">
        <f t="shared" si="3"/>
        <v>SLA BREACH</v>
      </c>
      <c r="I57" s="5">
        <f>Raw_Data!F57</f>
        <v>4778</v>
      </c>
      <c r="J57" s="5">
        <f t="shared" si="4"/>
        <v>238.9</v>
      </c>
    </row>
    <row r="58">
      <c r="A58" s="5" t="str">
        <f>Raw_Data!A58</f>
        <v>TRK100056</v>
      </c>
      <c r="B58" s="5" t="str">
        <f>TRIM(Raw_Data!B58)</f>
        <v>Delhivery</v>
      </c>
      <c r="C58" s="5" t="str">
        <f>TRIM(Raw_Data!C58)</f>
        <v>Metro</v>
      </c>
      <c r="D58" s="6">
        <f>DATEVALUE(TEXT(Raw_Data!D58, "YYYY-MM-DD"))</f>
        <v>46055</v>
      </c>
      <c r="E58" s="6">
        <f>IF(ISBLANK(Raw_Data!E58), "", DATEVALUE(TEXT(Raw_Data!E58, "YYYY-MM-DD")))</f>
        <v>46057</v>
      </c>
      <c r="F58" s="5">
        <f t="shared" si="1"/>
        <v>2</v>
      </c>
      <c r="G58" s="5">
        <f t="shared" si="2"/>
        <v>3</v>
      </c>
      <c r="H58" s="5" t="str">
        <f t="shared" si="3"/>
        <v>SLA BREACH</v>
      </c>
      <c r="I58" s="5">
        <f>Raw_Data!F58</f>
        <v>7626</v>
      </c>
      <c r="J58" s="5">
        <f t="shared" si="4"/>
        <v>381.3</v>
      </c>
    </row>
    <row r="59">
      <c r="A59" s="5" t="str">
        <f>Raw_Data!A59</f>
        <v>TRK100057</v>
      </c>
      <c r="B59" s="5" t="str">
        <f>TRIM(Raw_Data!B59)</f>
        <v>BlueDart</v>
      </c>
      <c r="C59" s="5" t="str">
        <f>TRIM(Raw_Data!C59)</f>
        <v>Metro</v>
      </c>
      <c r="D59" s="6">
        <f>DATEVALUE(TEXT(Raw_Data!D59, "YYYY-MM-DD"))</f>
        <v>46024</v>
      </c>
      <c r="E59" s="6">
        <f>IF(ISBLANK(Raw_Data!E59), "", DATEVALUE(TEXT(Raw_Data!E59, "YYYY-MM-DD")))</f>
        <v>46026</v>
      </c>
      <c r="F59" s="5">
        <f t="shared" si="1"/>
        <v>2</v>
      </c>
      <c r="G59" s="5">
        <f t="shared" si="2"/>
        <v>1</v>
      </c>
      <c r="H59" s="5" t="str">
        <f t="shared" si="3"/>
        <v>ON TIME</v>
      </c>
      <c r="I59" s="5">
        <f>Raw_Data!F59</f>
        <v>8730</v>
      </c>
      <c r="J59" s="5">
        <f t="shared" si="4"/>
        <v>0</v>
      </c>
    </row>
    <row r="60">
      <c r="A60" s="5" t="str">
        <f>Raw_Data!A60</f>
        <v>TRK100058</v>
      </c>
      <c r="B60" s="5" t="str">
        <f>TRIM(Raw_Data!B60)</f>
        <v>Delhivery</v>
      </c>
      <c r="C60" s="5" t="str">
        <f>TRIM(Raw_Data!C60)</f>
        <v>Tier 2</v>
      </c>
      <c r="D60" s="6">
        <f>DATEVALUE(TEXT(Raw_Data!D60, "YYYY-MM-DD"))</f>
        <v>46078</v>
      </c>
      <c r="E60" s="6">
        <f>IF(ISBLANK(Raw_Data!E60), "", DATEVALUE(TEXT(Raw_Data!E60, "YYYY-MM-DD")))</f>
        <v>46082</v>
      </c>
      <c r="F60" s="5">
        <f t="shared" si="1"/>
        <v>4</v>
      </c>
      <c r="G60" s="5">
        <f t="shared" si="2"/>
        <v>3</v>
      </c>
      <c r="H60" s="5" t="str">
        <f t="shared" si="3"/>
        <v>ON TIME</v>
      </c>
      <c r="I60" s="5">
        <f>Raw_Data!F60</f>
        <v>8194</v>
      </c>
      <c r="J60" s="5">
        <f t="shared" si="4"/>
        <v>0</v>
      </c>
    </row>
    <row r="61">
      <c r="A61" s="5" t="str">
        <f>Raw_Data!A61</f>
        <v>TRK100059</v>
      </c>
      <c r="B61" s="5" t="str">
        <f>TRIM(Raw_Data!B61)</f>
        <v>EcomExpress</v>
      </c>
      <c r="C61" s="5" t="str">
        <f>TRIM(Raw_Data!C61)</f>
        <v>Tier 3</v>
      </c>
      <c r="D61" s="6">
        <f>DATEVALUE(TEXT(Raw_Data!D61, "YYYY-MM-DD"))</f>
        <v>46025</v>
      </c>
      <c r="E61" s="6">
        <f>IF(ISBLANK(Raw_Data!E61), "", DATEVALUE(TEXT(Raw_Data!E61, "YYYY-MM-DD")))</f>
        <v>46031</v>
      </c>
      <c r="F61" s="5">
        <f t="shared" si="1"/>
        <v>6</v>
      </c>
      <c r="G61" s="5">
        <f t="shared" si="2"/>
        <v>5</v>
      </c>
      <c r="H61" s="5" t="str">
        <f t="shared" si="3"/>
        <v>ON TIME</v>
      </c>
      <c r="I61" s="5">
        <f>Raw_Data!F61</f>
        <v>7140</v>
      </c>
      <c r="J61" s="5">
        <f t="shared" si="4"/>
        <v>0</v>
      </c>
    </row>
    <row r="62">
      <c r="A62" s="5" t="str">
        <f>Raw_Data!A62</f>
        <v>TRK100060</v>
      </c>
      <c r="B62" s="5" t="str">
        <f>TRIM(Raw_Data!B62)</f>
        <v>BlueDart</v>
      </c>
      <c r="C62" s="5" t="str">
        <f>TRIM(Raw_Data!C62)</f>
        <v>Tier 3</v>
      </c>
      <c r="D62" s="6">
        <f>DATEVALUE(TEXT(Raw_Data!D62, "YYYY-MM-DD"))</f>
        <v>46047</v>
      </c>
      <c r="E62" s="6">
        <f>IF(ISBLANK(Raw_Data!E62), "", DATEVALUE(TEXT(Raw_Data!E62, "YYYY-MM-DD")))</f>
        <v>46053</v>
      </c>
      <c r="F62" s="5">
        <f t="shared" si="1"/>
        <v>6</v>
      </c>
      <c r="G62" s="5">
        <f t="shared" si="2"/>
        <v>5</v>
      </c>
      <c r="H62" s="5" t="str">
        <f t="shared" si="3"/>
        <v>ON TIME</v>
      </c>
      <c r="I62" s="5">
        <f>Raw_Data!F62</f>
        <v>5968</v>
      </c>
      <c r="J62" s="5">
        <f t="shared" si="4"/>
        <v>0</v>
      </c>
    </row>
    <row r="63">
      <c r="A63" s="5" t="str">
        <f>Raw_Data!A63</f>
        <v>TRK100061</v>
      </c>
      <c r="B63" s="5" t="str">
        <f>TRIM(Raw_Data!B63)</f>
        <v>EcomExpress</v>
      </c>
      <c r="C63" s="5" t="str">
        <f>TRIM(Raw_Data!C63)</f>
        <v>Tier 2</v>
      </c>
      <c r="D63" s="6">
        <f>DATEVALUE(TEXT(Raw_Data!D63, "YYYY-MM-DD"))</f>
        <v>46039</v>
      </c>
      <c r="E63" s="6">
        <f>IF(ISBLANK(Raw_Data!E63), "", DATEVALUE(TEXT(Raw_Data!E63, "YYYY-MM-DD")))</f>
        <v>46043</v>
      </c>
      <c r="F63" s="5">
        <f t="shared" si="1"/>
        <v>4</v>
      </c>
      <c r="G63" s="5">
        <f t="shared" si="2"/>
        <v>3</v>
      </c>
      <c r="H63" s="5" t="str">
        <f t="shared" si="3"/>
        <v>ON TIME</v>
      </c>
      <c r="I63" s="5">
        <f>Raw_Data!F63</f>
        <v>1420</v>
      </c>
      <c r="J63" s="5">
        <f t="shared" si="4"/>
        <v>0</v>
      </c>
    </row>
    <row r="64">
      <c r="A64" s="5" t="str">
        <f>Raw_Data!A64</f>
        <v>TRK100062</v>
      </c>
      <c r="B64" s="5" t="str">
        <f>TRIM(Raw_Data!B64)</f>
        <v>EcomExpress</v>
      </c>
      <c r="C64" s="5" t="str">
        <f>TRIM(Raw_Data!C64)</f>
        <v>Tier 2</v>
      </c>
      <c r="D64" s="6">
        <f>DATEVALUE(TEXT(Raw_Data!D64, "YYYY-MM-DD"))</f>
        <v>46024</v>
      </c>
      <c r="E64" s="6">
        <f>IF(ISBLANK(Raw_Data!E64), "", DATEVALUE(TEXT(Raw_Data!E64, "YYYY-MM-DD")))</f>
        <v>46030</v>
      </c>
      <c r="F64" s="5">
        <f t="shared" si="1"/>
        <v>4</v>
      </c>
      <c r="G64" s="5">
        <f t="shared" si="2"/>
        <v>5</v>
      </c>
      <c r="H64" s="5" t="str">
        <f t="shared" si="3"/>
        <v>SLA BREACH</v>
      </c>
      <c r="I64" s="5">
        <f>Raw_Data!F64</f>
        <v>8064</v>
      </c>
      <c r="J64" s="5">
        <f t="shared" si="4"/>
        <v>403.2</v>
      </c>
    </row>
    <row r="65">
      <c r="A65" s="5" t="str">
        <f>Raw_Data!A65</f>
        <v>TRK100063</v>
      </c>
      <c r="B65" s="5" t="str">
        <f>TRIM(Raw_Data!B65)</f>
        <v>BlueDart</v>
      </c>
      <c r="C65" s="5" t="str">
        <f>TRIM(Raw_Data!C65)</f>
        <v>Metro</v>
      </c>
      <c r="D65" s="6">
        <f>DATEVALUE(TEXT(Raw_Data!D65, "YYYY-MM-DD"))</f>
        <v>46073</v>
      </c>
      <c r="E65" s="6">
        <f>IF(ISBLANK(Raw_Data!E65), "", DATEVALUE(TEXT(Raw_Data!E65, "YYYY-MM-DD")))</f>
        <v>46075</v>
      </c>
      <c r="F65" s="5">
        <f t="shared" si="1"/>
        <v>2</v>
      </c>
      <c r="G65" s="5">
        <f t="shared" si="2"/>
        <v>1</v>
      </c>
      <c r="H65" s="5" t="str">
        <f t="shared" si="3"/>
        <v>ON TIME</v>
      </c>
      <c r="I65" s="5">
        <f>Raw_Data!F65</f>
        <v>11461</v>
      </c>
      <c r="J65" s="5">
        <f t="shared" si="4"/>
        <v>0</v>
      </c>
    </row>
    <row r="66">
      <c r="A66" s="5" t="str">
        <f>Raw_Data!A66</f>
        <v>TRK100064</v>
      </c>
      <c r="B66" s="5" t="str">
        <f>TRIM(Raw_Data!B66)</f>
        <v>EcomExpress</v>
      </c>
      <c r="C66" s="5" t="str">
        <f>TRIM(Raw_Data!C66)</f>
        <v>Tier 3</v>
      </c>
      <c r="D66" s="6">
        <f>DATEVALUE(TEXT(Raw_Data!D66, "YYYY-MM-DD"))</f>
        <v>46045</v>
      </c>
      <c r="E66" s="6" t="str">
        <f>IF(ISBLANK(Raw_Data!E66), "", DATEVALUE(TEXT(Raw_Data!E66, "YYYY-MM-DD")))</f>
        <v/>
      </c>
      <c r="F66" s="5">
        <f t="shared" si="1"/>
        <v>6</v>
      </c>
      <c r="G66" s="5" t="str">
        <f t="shared" si="2"/>
        <v>In-Transit</v>
      </c>
      <c r="H66" s="5" t="str">
        <f t="shared" si="3"/>
        <v>Pending</v>
      </c>
      <c r="I66" s="5">
        <f>Raw_Data!F66</f>
        <v>9184</v>
      </c>
      <c r="J66" s="5">
        <f t="shared" si="4"/>
        <v>0</v>
      </c>
    </row>
    <row r="67">
      <c r="A67" s="5" t="str">
        <f>Raw_Data!A67</f>
        <v>TRK100065</v>
      </c>
      <c r="B67" s="5" t="str">
        <f>TRIM(Raw_Data!B67)</f>
        <v>Delhivery</v>
      </c>
      <c r="C67" s="5" t="str">
        <f>TRIM(Raw_Data!C67)</f>
        <v>Tier 2</v>
      </c>
      <c r="D67" s="6">
        <f>DATEVALUE(TEXT(Raw_Data!D67, "YYYY-MM-DD"))</f>
        <v>46069</v>
      </c>
      <c r="E67" s="6">
        <f>IF(ISBLANK(Raw_Data!E67), "", DATEVALUE(TEXT(Raw_Data!E67, "YYYY-MM-DD")))</f>
        <v>46073</v>
      </c>
      <c r="F67" s="5">
        <f t="shared" si="1"/>
        <v>4</v>
      </c>
      <c r="G67" s="5">
        <f t="shared" si="2"/>
        <v>5</v>
      </c>
      <c r="H67" s="5" t="str">
        <f t="shared" si="3"/>
        <v>SLA BREACH</v>
      </c>
      <c r="I67" s="5">
        <f>Raw_Data!F67</f>
        <v>9823</v>
      </c>
      <c r="J67" s="5">
        <f t="shared" si="4"/>
        <v>491.15</v>
      </c>
    </row>
    <row r="68">
      <c r="A68" s="5" t="str">
        <f>Raw_Data!A68</f>
        <v>TRK100066</v>
      </c>
      <c r="B68" s="5" t="str">
        <f>TRIM(Raw_Data!B68)</f>
        <v>EcomExpress</v>
      </c>
      <c r="C68" s="5" t="str">
        <f>TRIM(Raw_Data!C68)</f>
        <v>Tier 3</v>
      </c>
      <c r="D68" s="6">
        <f>DATEVALUE(TEXT(Raw_Data!D68, "YYYY-MM-DD"))</f>
        <v>46063</v>
      </c>
      <c r="E68" s="6">
        <f>IF(ISBLANK(Raw_Data!E68), "", DATEVALUE(TEXT(Raw_Data!E68, "YYYY-MM-DD")))</f>
        <v>46069</v>
      </c>
      <c r="F68" s="5">
        <f t="shared" si="1"/>
        <v>6</v>
      </c>
      <c r="G68" s="5">
        <f t="shared" si="2"/>
        <v>5</v>
      </c>
      <c r="H68" s="5" t="str">
        <f t="shared" si="3"/>
        <v>ON TIME</v>
      </c>
      <c r="I68" s="5">
        <f>Raw_Data!F68</f>
        <v>9002</v>
      </c>
      <c r="J68" s="5">
        <f t="shared" si="4"/>
        <v>0</v>
      </c>
    </row>
    <row r="69">
      <c r="A69" s="5" t="str">
        <f>Raw_Data!A69</f>
        <v>TRK100067</v>
      </c>
      <c r="B69" s="5" t="str">
        <f>TRIM(Raw_Data!B69)</f>
        <v>Delhivery</v>
      </c>
      <c r="C69" s="5" t="str">
        <f>TRIM(Raw_Data!C69)</f>
        <v>Tier 2</v>
      </c>
      <c r="D69" s="6">
        <f>DATEVALUE(TEXT(Raw_Data!D69, "YYYY-MM-DD"))</f>
        <v>46072</v>
      </c>
      <c r="E69" s="6">
        <f>IF(ISBLANK(Raw_Data!E69), "", DATEVALUE(TEXT(Raw_Data!E69, "YYYY-MM-DD")))</f>
        <v>46077</v>
      </c>
      <c r="F69" s="5">
        <f t="shared" si="1"/>
        <v>4</v>
      </c>
      <c r="G69" s="5">
        <f t="shared" si="2"/>
        <v>4</v>
      </c>
      <c r="H69" s="5" t="str">
        <f t="shared" si="3"/>
        <v>ON TIME</v>
      </c>
      <c r="I69" s="5">
        <f>Raw_Data!F69</f>
        <v>9430</v>
      </c>
      <c r="J69" s="5">
        <f t="shared" si="4"/>
        <v>0</v>
      </c>
    </row>
    <row r="70">
      <c r="A70" s="5" t="str">
        <f>Raw_Data!A70</f>
        <v>TRK100068</v>
      </c>
      <c r="B70" s="5" t="str">
        <f>TRIM(Raw_Data!B70)</f>
        <v>Delhivery</v>
      </c>
      <c r="C70" s="5" t="str">
        <f>TRIM(Raw_Data!C70)</f>
        <v>Metro</v>
      </c>
      <c r="D70" s="6">
        <f>DATEVALUE(TEXT(Raw_Data!D70, "YYYY-MM-DD"))</f>
        <v>46070</v>
      </c>
      <c r="E70" s="6" t="str">
        <f>IF(ISBLANK(Raw_Data!E70), "", DATEVALUE(TEXT(Raw_Data!E70, "YYYY-MM-DD")))</f>
        <v/>
      </c>
      <c r="F70" s="5">
        <f t="shared" si="1"/>
        <v>2</v>
      </c>
      <c r="G70" s="5" t="str">
        <f t="shared" si="2"/>
        <v>In-Transit</v>
      </c>
      <c r="H70" s="5" t="str">
        <f t="shared" si="3"/>
        <v>Pending</v>
      </c>
      <c r="I70" s="5">
        <f>Raw_Data!F70</f>
        <v>3741</v>
      </c>
      <c r="J70" s="5">
        <f t="shared" si="4"/>
        <v>0</v>
      </c>
    </row>
    <row r="71">
      <c r="A71" s="5" t="str">
        <f>Raw_Data!A71</f>
        <v>TRK100069</v>
      </c>
      <c r="B71" s="5" t="str">
        <f>TRIM(Raw_Data!B71)</f>
        <v>EcomExpress</v>
      </c>
      <c r="C71" s="5" t="str">
        <f>TRIM(Raw_Data!C71)</f>
        <v>Tier 2</v>
      </c>
      <c r="D71" s="6">
        <f>DATEVALUE(TEXT(Raw_Data!D71, "YYYY-MM-DD"))</f>
        <v>46044</v>
      </c>
      <c r="E71" s="6">
        <f>IF(ISBLANK(Raw_Data!E71), "", DATEVALUE(TEXT(Raw_Data!E71, "YYYY-MM-DD")))</f>
        <v>46053</v>
      </c>
      <c r="F71" s="5">
        <f t="shared" si="1"/>
        <v>4</v>
      </c>
      <c r="G71" s="5">
        <f t="shared" si="2"/>
        <v>7</v>
      </c>
      <c r="H71" s="5" t="str">
        <f t="shared" si="3"/>
        <v>SLA BREACH</v>
      </c>
      <c r="I71" s="5">
        <f>Raw_Data!F71</f>
        <v>1045</v>
      </c>
      <c r="J71" s="5">
        <f t="shared" si="4"/>
        <v>52.25</v>
      </c>
    </row>
    <row r="72">
      <c r="A72" s="5" t="str">
        <f>Raw_Data!A72</f>
        <v>TRK100070</v>
      </c>
      <c r="B72" s="5" t="str">
        <f>TRIM(Raw_Data!B72)</f>
        <v>Delhivery</v>
      </c>
      <c r="C72" s="5" t="str">
        <f>TRIM(Raw_Data!C72)</f>
        <v>Tier 2</v>
      </c>
      <c r="D72" s="6">
        <f>DATEVALUE(TEXT(Raw_Data!D72, "YYYY-MM-DD"))</f>
        <v>46025</v>
      </c>
      <c r="E72" s="6">
        <f>IF(ISBLANK(Raw_Data!E72), "", DATEVALUE(TEXT(Raw_Data!E72, "YYYY-MM-DD")))</f>
        <v>46030</v>
      </c>
      <c r="F72" s="5">
        <f t="shared" si="1"/>
        <v>4</v>
      </c>
      <c r="G72" s="5">
        <f t="shared" si="2"/>
        <v>4</v>
      </c>
      <c r="H72" s="5" t="str">
        <f t="shared" si="3"/>
        <v>ON TIME</v>
      </c>
      <c r="I72" s="5">
        <f>Raw_Data!F72</f>
        <v>11153</v>
      </c>
      <c r="J72" s="5">
        <f t="shared" si="4"/>
        <v>0</v>
      </c>
    </row>
    <row r="73">
      <c r="A73" s="5" t="str">
        <f>Raw_Data!A73</f>
        <v>TRK100071</v>
      </c>
      <c r="B73" s="5" t="str">
        <f>TRIM(Raw_Data!B73)</f>
        <v>BlueDart</v>
      </c>
      <c r="C73" s="5" t="str">
        <f>TRIM(Raw_Data!C73)</f>
        <v>Tier 2</v>
      </c>
      <c r="D73" s="6">
        <f>DATEVALUE(TEXT(Raw_Data!D73, "YYYY-MM-DD"))</f>
        <v>46057</v>
      </c>
      <c r="E73" s="6">
        <f>IF(ISBLANK(Raw_Data!E73), "", DATEVALUE(TEXT(Raw_Data!E73, "YYYY-MM-DD")))</f>
        <v>46061</v>
      </c>
      <c r="F73" s="5">
        <f t="shared" si="1"/>
        <v>4</v>
      </c>
      <c r="G73" s="5">
        <f t="shared" si="2"/>
        <v>3</v>
      </c>
      <c r="H73" s="5" t="str">
        <f t="shared" si="3"/>
        <v>ON TIME</v>
      </c>
      <c r="I73" s="5">
        <f>Raw_Data!F73</f>
        <v>4846</v>
      </c>
      <c r="J73" s="5">
        <f t="shared" si="4"/>
        <v>0</v>
      </c>
    </row>
    <row r="74">
      <c r="A74" s="5" t="str">
        <f>Raw_Data!A74</f>
        <v>TRK100072</v>
      </c>
      <c r="B74" s="5" t="str">
        <f>TRIM(Raw_Data!B74)</f>
        <v>Delhivery</v>
      </c>
      <c r="C74" s="5" t="str">
        <f>TRIM(Raw_Data!C74)</f>
        <v>Tier 2</v>
      </c>
      <c r="D74" s="6">
        <f>DATEVALUE(TEXT(Raw_Data!D74, "YYYY-MM-DD"))</f>
        <v>46075</v>
      </c>
      <c r="E74" s="6">
        <f>IF(ISBLANK(Raw_Data!E74), "", DATEVALUE(TEXT(Raw_Data!E74, "YYYY-MM-DD")))</f>
        <v>46079</v>
      </c>
      <c r="F74" s="5">
        <f t="shared" si="1"/>
        <v>4</v>
      </c>
      <c r="G74" s="5">
        <f t="shared" si="2"/>
        <v>4</v>
      </c>
      <c r="H74" s="5" t="str">
        <f t="shared" si="3"/>
        <v>ON TIME</v>
      </c>
      <c r="I74" s="5">
        <f>Raw_Data!F74</f>
        <v>10496</v>
      </c>
      <c r="J74" s="5">
        <f t="shared" si="4"/>
        <v>0</v>
      </c>
    </row>
    <row r="75">
      <c r="A75" s="5" t="str">
        <f>Raw_Data!A75</f>
        <v>TRK100073</v>
      </c>
      <c r="B75" s="5" t="str">
        <f>TRIM(Raw_Data!B75)</f>
        <v>Delhivery</v>
      </c>
      <c r="C75" s="5" t="str">
        <f>TRIM(Raw_Data!C75)</f>
        <v>Tier 2</v>
      </c>
      <c r="D75" s="6">
        <f>DATEVALUE(TEXT(Raw_Data!D75, "YYYY-MM-DD"))</f>
        <v>46034</v>
      </c>
      <c r="E75" s="6">
        <f>IF(ISBLANK(Raw_Data!E75), "", DATEVALUE(TEXT(Raw_Data!E75, "YYYY-MM-DD")))</f>
        <v>46039</v>
      </c>
      <c r="F75" s="5">
        <f t="shared" si="1"/>
        <v>4</v>
      </c>
      <c r="G75" s="5">
        <f t="shared" si="2"/>
        <v>5</v>
      </c>
      <c r="H75" s="5" t="str">
        <f t="shared" si="3"/>
        <v>SLA BREACH</v>
      </c>
      <c r="I75" s="5">
        <f>Raw_Data!F75</f>
        <v>11904</v>
      </c>
      <c r="J75" s="5">
        <f t="shared" si="4"/>
        <v>595.2</v>
      </c>
    </row>
    <row r="76">
      <c r="A76" s="5" t="str">
        <f>Raw_Data!A76</f>
        <v>TRK100074</v>
      </c>
      <c r="B76" s="5" t="str">
        <f>TRIM(Raw_Data!B76)</f>
        <v>Delhivery</v>
      </c>
      <c r="C76" s="5" t="str">
        <f>TRIM(Raw_Data!C76)</f>
        <v>Tier 3</v>
      </c>
      <c r="D76" s="6">
        <f>DATEVALUE(TEXT(Raw_Data!D76, "YYYY-MM-DD"))</f>
        <v>46066</v>
      </c>
      <c r="E76" s="6">
        <f>IF(ISBLANK(Raw_Data!E76), "", DATEVALUE(TEXT(Raw_Data!E76, "YYYY-MM-DD")))</f>
        <v>46073</v>
      </c>
      <c r="F76" s="5">
        <f t="shared" si="1"/>
        <v>6</v>
      </c>
      <c r="G76" s="5">
        <f t="shared" si="2"/>
        <v>6</v>
      </c>
      <c r="H76" s="5" t="str">
        <f t="shared" si="3"/>
        <v>ON TIME</v>
      </c>
      <c r="I76" s="5">
        <f>Raw_Data!F76</f>
        <v>4310</v>
      </c>
      <c r="J76" s="5">
        <f t="shared" si="4"/>
        <v>0</v>
      </c>
    </row>
    <row r="77">
      <c r="A77" s="5" t="str">
        <f>Raw_Data!A77</f>
        <v>TRK100075</v>
      </c>
      <c r="B77" s="5" t="str">
        <f>TRIM(Raw_Data!B77)</f>
        <v>BlueDart</v>
      </c>
      <c r="C77" s="5" t="str">
        <f>TRIM(Raw_Data!C77)</f>
        <v>Metro</v>
      </c>
      <c r="D77" s="6">
        <f>DATEVALUE(TEXT(Raw_Data!D77, "YYYY-MM-DD"))</f>
        <v>46067</v>
      </c>
      <c r="E77" s="6">
        <f>IF(ISBLANK(Raw_Data!E77), "", DATEVALUE(TEXT(Raw_Data!E77, "YYYY-MM-DD")))</f>
        <v>46070</v>
      </c>
      <c r="F77" s="5">
        <f t="shared" si="1"/>
        <v>2</v>
      </c>
      <c r="G77" s="5">
        <f t="shared" si="2"/>
        <v>2</v>
      </c>
      <c r="H77" s="5" t="str">
        <f t="shared" si="3"/>
        <v>ON TIME</v>
      </c>
      <c r="I77" s="5">
        <f>Raw_Data!F77</f>
        <v>7706</v>
      </c>
      <c r="J77" s="5">
        <f t="shared" si="4"/>
        <v>0</v>
      </c>
    </row>
    <row r="78">
      <c r="A78" s="5" t="str">
        <f>Raw_Data!A78</f>
        <v>TRK100076</v>
      </c>
      <c r="B78" s="5" t="str">
        <f>TRIM(Raw_Data!B78)</f>
        <v>BlueDart</v>
      </c>
      <c r="C78" s="5" t="str">
        <f>TRIM(Raw_Data!C78)</f>
        <v>Metro</v>
      </c>
      <c r="D78" s="6">
        <f>DATEVALUE(TEXT(Raw_Data!D78, "YYYY-MM-DD"))</f>
        <v>46063</v>
      </c>
      <c r="E78" s="6">
        <f>IF(ISBLANK(Raw_Data!E78), "", DATEVALUE(TEXT(Raw_Data!E78, "YYYY-MM-DD")))</f>
        <v>46066</v>
      </c>
      <c r="F78" s="5">
        <f t="shared" si="1"/>
        <v>2</v>
      </c>
      <c r="G78" s="5">
        <f t="shared" si="2"/>
        <v>4</v>
      </c>
      <c r="H78" s="5" t="str">
        <f t="shared" si="3"/>
        <v>SLA BREACH</v>
      </c>
      <c r="I78" s="5">
        <f>Raw_Data!F78</f>
        <v>9505</v>
      </c>
      <c r="J78" s="5">
        <f t="shared" si="4"/>
        <v>475.25</v>
      </c>
    </row>
    <row r="79">
      <c r="A79" s="5" t="str">
        <f>Raw_Data!A79</f>
        <v>TRK100077</v>
      </c>
      <c r="B79" s="5" t="str">
        <f>TRIM(Raw_Data!B79)</f>
        <v>BlueDart</v>
      </c>
      <c r="C79" s="5" t="str">
        <f>TRIM(Raw_Data!C79)</f>
        <v>Tier 2</v>
      </c>
      <c r="D79" s="6">
        <f>DATEVALUE(TEXT(Raw_Data!D79, "YYYY-MM-DD"))</f>
        <v>46074</v>
      </c>
      <c r="E79" s="6">
        <f>IF(ISBLANK(Raw_Data!E79), "", DATEVALUE(TEXT(Raw_Data!E79, "YYYY-MM-DD")))</f>
        <v>46078</v>
      </c>
      <c r="F79" s="5">
        <f t="shared" si="1"/>
        <v>4</v>
      </c>
      <c r="G79" s="5">
        <f t="shared" si="2"/>
        <v>3</v>
      </c>
      <c r="H79" s="5" t="str">
        <f t="shared" si="3"/>
        <v>ON TIME</v>
      </c>
      <c r="I79" s="5">
        <f>Raw_Data!F79</f>
        <v>2532</v>
      </c>
      <c r="J79" s="5">
        <f t="shared" si="4"/>
        <v>0</v>
      </c>
    </row>
    <row r="80">
      <c r="A80" s="5" t="str">
        <f>Raw_Data!A80</f>
        <v>TRK100078</v>
      </c>
      <c r="B80" s="5" t="str">
        <f>TRIM(Raw_Data!B80)</f>
        <v>EcomExpress</v>
      </c>
      <c r="C80" s="5" t="str">
        <f>TRIM(Raw_Data!C80)</f>
        <v>Tier 2</v>
      </c>
      <c r="D80" s="6">
        <f>DATEVALUE(TEXT(Raw_Data!D80, "YYYY-MM-DD"))</f>
        <v>46027</v>
      </c>
      <c r="E80" s="6">
        <f>IF(ISBLANK(Raw_Data!E80), "", DATEVALUE(TEXT(Raw_Data!E80, "YYYY-MM-DD")))</f>
        <v>46031</v>
      </c>
      <c r="F80" s="5">
        <f t="shared" si="1"/>
        <v>4</v>
      </c>
      <c r="G80" s="5">
        <f t="shared" si="2"/>
        <v>5</v>
      </c>
      <c r="H80" s="5" t="str">
        <f t="shared" si="3"/>
        <v>SLA BREACH</v>
      </c>
      <c r="I80" s="5">
        <f>Raw_Data!F80</f>
        <v>8936</v>
      </c>
      <c r="J80" s="5">
        <f t="shared" si="4"/>
        <v>446.8</v>
      </c>
    </row>
    <row r="81">
      <c r="A81" s="5" t="str">
        <f>Raw_Data!A81</f>
        <v>TRK100079</v>
      </c>
      <c r="B81" s="5" t="str">
        <f>TRIM(Raw_Data!B81)</f>
        <v>BlueDart</v>
      </c>
      <c r="C81" s="5" t="str">
        <f>TRIM(Raw_Data!C81)</f>
        <v>Tier 3</v>
      </c>
      <c r="D81" s="6">
        <f>DATEVALUE(TEXT(Raw_Data!D81, "YYYY-MM-DD"))</f>
        <v>46072</v>
      </c>
      <c r="E81" s="6">
        <f>IF(ISBLANK(Raw_Data!E81), "", DATEVALUE(TEXT(Raw_Data!E81, "YYYY-MM-DD")))</f>
        <v>46078</v>
      </c>
      <c r="F81" s="5">
        <f t="shared" si="1"/>
        <v>6</v>
      </c>
      <c r="G81" s="5">
        <f t="shared" si="2"/>
        <v>5</v>
      </c>
      <c r="H81" s="5" t="str">
        <f t="shared" si="3"/>
        <v>ON TIME</v>
      </c>
      <c r="I81" s="5">
        <f>Raw_Data!F81</f>
        <v>771</v>
      </c>
      <c r="J81" s="5">
        <f t="shared" si="4"/>
        <v>0</v>
      </c>
    </row>
    <row r="82">
      <c r="A82" s="5" t="str">
        <f>Raw_Data!A82</f>
        <v>TRK100080</v>
      </c>
      <c r="B82" s="5" t="str">
        <f>TRIM(Raw_Data!B82)</f>
        <v>Delhivery</v>
      </c>
      <c r="C82" s="5" t="str">
        <f>TRIM(Raw_Data!C82)</f>
        <v>Tier 2</v>
      </c>
      <c r="D82" s="6">
        <f>DATEVALUE(TEXT(Raw_Data!D82, "YYYY-MM-DD"))</f>
        <v>46025</v>
      </c>
      <c r="E82" s="6">
        <f>IF(ISBLANK(Raw_Data!E82), "", DATEVALUE(TEXT(Raw_Data!E82, "YYYY-MM-DD")))</f>
        <v>46031</v>
      </c>
      <c r="F82" s="5">
        <f t="shared" si="1"/>
        <v>4</v>
      </c>
      <c r="G82" s="5">
        <f t="shared" si="2"/>
        <v>5</v>
      </c>
      <c r="H82" s="5" t="str">
        <f t="shared" si="3"/>
        <v>SLA BREACH</v>
      </c>
      <c r="I82" s="5">
        <f>Raw_Data!F82</f>
        <v>4011</v>
      </c>
      <c r="J82" s="5">
        <f t="shared" si="4"/>
        <v>200.55</v>
      </c>
    </row>
    <row r="83">
      <c r="A83" s="5" t="str">
        <f>Raw_Data!A83</f>
        <v>TRK100081</v>
      </c>
      <c r="B83" s="5" t="str">
        <f>TRIM(Raw_Data!B83)</f>
        <v>BlueDart</v>
      </c>
      <c r="C83" s="5" t="str">
        <f>TRIM(Raw_Data!C83)</f>
        <v>Tier 2</v>
      </c>
      <c r="D83" s="6">
        <f>DATEVALUE(TEXT(Raw_Data!D83, "YYYY-MM-DD"))</f>
        <v>46035</v>
      </c>
      <c r="E83" s="6">
        <f>IF(ISBLANK(Raw_Data!E83), "", DATEVALUE(TEXT(Raw_Data!E83, "YYYY-MM-DD")))</f>
        <v>46039</v>
      </c>
      <c r="F83" s="5">
        <f t="shared" si="1"/>
        <v>4</v>
      </c>
      <c r="G83" s="5">
        <f t="shared" si="2"/>
        <v>4</v>
      </c>
      <c r="H83" s="5" t="str">
        <f t="shared" si="3"/>
        <v>ON TIME</v>
      </c>
      <c r="I83" s="5">
        <f>Raw_Data!F83</f>
        <v>2271</v>
      </c>
      <c r="J83" s="5">
        <f t="shared" si="4"/>
        <v>0</v>
      </c>
    </row>
    <row r="84">
      <c r="A84" s="5" t="str">
        <f>Raw_Data!A84</f>
        <v>TRK100082</v>
      </c>
      <c r="B84" s="5" t="str">
        <f>TRIM(Raw_Data!B84)</f>
        <v>BlueDart</v>
      </c>
      <c r="C84" s="5" t="str">
        <f>TRIM(Raw_Data!C84)</f>
        <v>Tier 3</v>
      </c>
      <c r="D84" s="6">
        <f>DATEVALUE(TEXT(Raw_Data!D84, "YYYY-MM-DD"))</f>
        <v>46073</v>
      </c>
      <c r="E84" s="6">
        <f>IF(ISBLANK(Raw_Data!E84), "", DATEVALUE(TEXT(Raw_Data!E84, "YYYY-MM-DD")))</f>
        <v>46079</v>
      </c>
      <c r="F84" s="5">
        <f t="shared" si="1"/>
        <v>6</v>
      </c>
      <c r="G84" s="5">
        <f t="shared" si="2"/>
        <v>5</v>
      </c>
      <c r="H84" s="5" t="str">
        <f t="shared" si="3"/>
        <v>ON TIME</v>
      </c>
      <c r="I84" s="5">
        <f>Raw_Data!F84</f>
        <v>9954</v>
      </c>
      <c r="J84" s="5">
        <f t="shared" si="4"/>
        <v>0</v>
      </c>
    </row>
    <row r="85">
      <c r="A85" s="5" t="str">
        <f>Raw_Data!A85</f>
        <v>TRK100083</v>
      </c>
      <c r="B85" s="5" t="str">
        <f>TRIM(Raw_Data!B85)</f>
        <v>Delhivery</v>
      </c>
      <c r="C85" s="5" t="str">
        <f>TRIM(Raw_Data!C85)</f>
        <v>Tier 2</v>
      </c>
      <c r="D85" s="6">
        <f>DATEVALUE(TEXT(Raw_Data!D85, "YYYY-MM-DD"))</f>
        <v>46079</v>
      </c>
      <c r="E85" s="6">
        <f>IF(ISBLANK(Raw_Data!E85), "", DATEVALUE(TEXT(Raw_Data!E85, "YYYY-MM-DD")))</f>
        <v>46083</v>
      </c>
      <c r="F85" s="5">
        <f t="shared" si="1"/>
        <v>4</v>
      </c>
      <c r="G85" s="5">
        <f t="shared" si="2"/>
        <v>3</v>
      </c>
      <c r="H85" s="5" t="str">
        <f t="shared" si="3"/>
        <v>ON TIME</v>
      </c>
      <c r="I85" s="5">
        <f>Raw_Data!F85</f>
        <v>11116</v>
      </c>
      <c r="J85" s="5">
        <f t="shared" si="4"/>
        <v>0</v>
      </c>
    </row>
    <row r="86">
      <c r="A86" s="5" t="str">
        <f>Raw_Data!A86</f>
        <v>TRK100084</v>
      </c>
      <c r="B86" s="5" t="str">
        <f>TRIM(Raw_Data!B86)</f>
        <v>EcomExpress</v>
      </c>
      <c r="C86" s="5" t="str">
        <f>TRIM(Raw_Data!C86)</f>
        <v>Tier 3</v>
      </c>
      <c r="D86" s="6">
        <f>DATEVALUE(TEXT(Raw_Data!D86, "YYYY-MM-DD"))</f>
        <v>46043</v>
      </c>
      <c r="E86" s="6">
        <f>IF(ISBLANK(Raw_Data!E86), "", DATEVALUE(TEXT(Raw_Data!E86, "YYYY-MM-DD")))</f>
        <v>46049</v>
      </c>
      <c r="F86" s="5">
        <f t="shared" si="1"/>
        <v>6</v>
      </c>
      <c r="G86" s="5">
        <f t="shared" si="2"/>
        <v>5</v>
      </c>
      <c r="H86" s="5" t="str">
        <f t="shared" si="3"/>
        <v>ON TIME</v>
      </c>
      <c r="I86" s="5">
        <f>Raw_Data!F86</f>
        <v>4861</v>
      </c>
      <c r="J86" s="5">
        <f t="shared" si="4"/>
        <v>0</v>
      </c>
    </row>
    <row r="87">
      <c r="A87" s="5" t="str">
        <f>Raw_Data!A87</f>
        <v>TRK100085</v>
      </c>
      <c r="B87" s="5" t="str">
        <f>TRIM(Raw_Data!B87)</f>
        <v>BlueDart</v>
      </c>
      <c r="C87" s="5" t="str">
        <f>TRIM(Raw_Data!C87)</f>
        <v>Metro</v>
      </c>
      <c r="D87" s="6">
        <f>DATEVALUE(TEXT(Raw_Data!D87, "YYYY-MM-DD"))</f>
        <v>46055</v>
      </c>
      <c r="E87" s="6">
        <f>IF(ISBLANK(Raw_Data!E87), "", DATEVALUE(TEXT(Raw_Data!E87, "YYYY-MM-DD")))</f>
        <v>46057</v>
      </c>
      <c r="F87" s="5">
        <f t="shared" si="1"/>
        <v>2</v>
      </c>
      <c r="G87" s="5">
        <f t="shared" si="2"/>
        <v>3</v>
      </c>
      <c r="H87" s="5" t="str">
        <f t="shared" si="3"/>
        <v>SLA BREACH</v>
      </c>
      <c r="I87" s="5">
        <f>Raw_Data!F87</f>
        <v>7569</v>
      </c>
      <c r="J87" s="5">
        <f t="shared" si="4"/>
        <v>378.45</v>
      </c>
    </row>
    <row r="88">
      <c r="A88" s="5" t="str">
        <f>Raw_Data!A88</f>
        <v>TRK100086</v>
      </c>
      <c r="B88" s="5" t="str">
        <f>TRIM(Raw_Data!B88)</f>
        <v>EcomExpress</v>
      </c>
      <c r="C88" s="5" t="str">
        <f>TRIM(Raw_Data!C88)</f>
        <v>Tier 2</v>
      </c>
      <c r="D88" s="6">
        <f>DATEVALUE(TEXT(Raw_Data!D88, "YYYY-MM-DD"))</f>
        <v>46075</v>
      </c>
      <c r="E88" s="6">
        <f>IF(ISBLANK(Raw_Data!E88), "", DATEVALUE(TEXT(Raw_Data!E88, "YYYY-MM-DD")))</f>
        <v>46080</v>
      </c>
      <c r="F88" s="5">
        <f t="shared" si="1"/>
        <v>4</v>
      </c>
      <c r="G88" s="5">
        <f t="shared" si="2"/>
        <v>5</v>
      </c>
      <c r="H88" s="5" t="str">
        <f t="shared" si="3"/>
        <v>SLA BREACH</v>
      </c>
      <c r="I88" s="5">
        <f>Raw_Data!F88</f>
        <v>1420</v>
      </c>
      <c r="J88" s="5">
        <f t="shared" si="4"/>
        <v>71</v>
      </c>
    </row>
    <row r="89">
      <c r="A89" s="5" t="str">
        <f>Raw_Data!A89</f>
        <v>TRK100087</v>
      </c>
      <c r="B89" s="5" t="str">
        <f>TRIM(Raw_Data!B89)</f>
        <v>EcomExpress</v>
      </c>
      <c r="C89" s="5" t="str">
        <f>TRIM(Raw_Data!C89)</f>
        <v>Metro</v>
      </c>
      <c r="D89" s="6">
        <f>DATEVALUE(TEXT(Raw_Data!D89, "YYYY-MM-DD"))</f>
        <v>46053</v>
      </c>
      <c r="E89" s="6">
        <f>IF(ISBLANK(Raw_Data!E89), "", DATEVALUE(TEXT(Raw_Data!E89, "YYYY-MM-DD")))</f>
        <v>46055</v>
      </c>
      <c r="F89" s="5">
        <f t="shared" si="1"/>
        <v>2</v>
      </c>
      <c r="G89" s="5">
        <f t="shared" si="2"/>
        <v>1</v>
      </c>
      <c r="H89" s="5" t="str">
        <f t="shared" si="3"/>
        <v>ON TIME</v>
      </c>
      <c r="I89" s="5">
        <f>Raw_Data!F89</f>
        <v>8690</v>
      </c>
      <c r="J89" s="5">
        <f t="shared" si="4"/>
        <v>0</v>
      </c>
    </row>
    <row r="90">
      <c r="A90" s="5" t="str">
        <f>Raw_Data!A90</f>
        <v>TRK100088</v>
      </c>
      <c r="B90" s="5" t="str">
        <f>TRIM(Raw_Data!B90)</f>
        <v>EcomExpress</v>
      </c>
      <c r="C90" s="5" t="str">
        <f>TRIM(Raw_Data!C90)</f>
        <v>Tier 2</v>
      </c>
      <c r="D90" s="6">
        <f>DATEVALUE(TEXT(Raw_Data!D90, "YYYY-MM-DD"))</f>
        <v>46025</v>
      </c>
      <c r="E90" s="6">
        <f>IF(ISBLANK(Raw_Data!E90), "", DATEVALUE(TEXT(Raw_Data!E90, "YYYY-MM-DD")))</f>
        <v>46031</v>
      </c>
      <c r="F90" s="5">
        <f t="shared" si="1"/>
        <v>4</v>
      </c>
      <c r="G90" s="5">
        <f t="shared" si="2"/>
        <v>5</v>
      </c>
      <c r="H90" s="5" t="str">
        <f t="shared" si="3"/>
        <v>SLA BREACH</v>
      </c>
      <c r="I90" s="5">
        <f>Raw_Data!F90</f>
        <v>3930</v>
      </c>
      <c r="J90" s="5">
        <f t="shared" si="4"/>
        <v>196.5</v>
      </c>
    </row>
    <row r="91">
      <c r="A91" s="5" t="str">
        <f>Raw_Data!A91</f>
        <v>TRK100089</v>
      </c>
      <c r="B91" s="5" t="str">
        <f>TRIM(Raw_Data!B91)</f>
        <v>Delhivery</v>
      </c>
      <c r="C91" s="5" t="str">
        <f>TRIM(Raw_Data!C91)</f>
        <v>Tier 2</v>
      </c>
      <c r="D91" s="6">
        <f>DATEVALUE(TEXT(Raw_Data!D91, "YYYY-MM-DD"))</f>
        <v>46064</v>
      </c>
      <c r="E91" s="6">
        <f>IF(ISBLANK(Raw_Data!E91), "", DATEVALUE(TEXT(Raw_Data!E91, "YYYY-MM-DD")))</f>
        <v>46068</v>
      </c>
      <c r="F91" s="5">
        <f t="shared" si="1"/>
        <v>4</v>
      </c>
      <c r="G91" s="5">
        <f t="shared" si="2"/>
        <v>3</v>
      </c>
      <c r="H91" s="5" t="str">
        <f t="shared" si="3"/>
        <v>ON TIME</v>
      </c>
      <c r="I91" s="5">
        <f>Raw_Data!F91</f>
        <v>4935</v>
      </c>
      <c r="J91" s="5">
        <f t="shared" si="4"/>
        <v>0</v>
      </c>
    </row>
    <row r="92">
      <c r="A92" s="5" t="str">
        <f>Raw_Data!A92</f>
        <v>TRK100090</v>
      </c>
      <c r="B92" s="5" t="str">
        <f>TRIM(Raw_Data!B92)</f>
        <v>EcomExpress</v>
      </c>
      <c r="C92" s="5" t="str">
        <f>TRIM(Raw_Data!C92)</f>
        <v>Tier 2</v>
      </c>
      <c r="D92" s="6">
        <f>DATEVALUE(TEXT(Raw_Data!D92, "YYYY-MM-DD"))</f>
        <v>46041</v>
      </c>
      <c r="E92" s="6">
        <f>IF(ISBLANK(Raw_Data!E92), "", DATEVALUE(TEXT(Raw_Data!E92, "YYYY-MM-DD")))</f>
        <v>46045</v>
      </c>
      <c r="F92" s="5">
        <f t="shared" si="1"/>
        <v>4</v>
      </c>
      <c r="G92" s="5">
        <f t="shared" si="2"/>
        <v>5</v>
      </c>
      <c r="H92" s="5" t="str">
        <f t="shared" si="3"/>
        <v>SLA BREACH</v>
      </c>
      <c r="I92" s="5">
        <f>Raw_Data!F92</f>
        <v>11316</v>
      </c>
      <c r="J92" s="5">
        <f t="shared" si="4"/>
        <v>565.8</v>
      </c>
    </row>
    <row r="93">
      <c r="A93" s="5" t="str">
        <f>Raw_Data!A93</f>
        <v>TRK100091</v>
      </c>
      <c r="B93" s="5" t="str">
        <f>TRIM(Raw_Data!B93)</f>
        <v>EcomExpress</v>
      </c>
      <c r="C93" s="5" t="str">
        <f>TRIM(Raw_Data!C93)</f>
        <v>Metro</v>
      </c>
      <c r="D93" s="6">
        <f>DATEVALUE(TEXT(Raw_Data!D93, "YYYY-MM-DD"))</f>
        <v>46078</v>
      </c>
      <c r="E93" s="6">
        <f>IF(ISBLANK(Raw_Data!E93), "", DATEVALUE(TEXT(Raw_Data!E93, "YYYY-MM-DD")))</f>
        <v>46081</v>
      </c>
      <c r="F93" s="5">
        <f t="shared" si="1"/>
        <v>2</v>
      </c>
      <c r="G93" s="5">
        <f t="shared" si="2"/>
        <v>3</v>
      </c>
      <c r="H93" s="5" t="str">
        <f t="shared" si="3"/>
        <v>SLA BREACH</v>
      </c>
      <c r="I93" s="5">
        <f>Raw_Data!F93</f>
        <v>4260</v>
      </c>
      <c r="J93" s="5">
        <f t="shared" si="4"/>
        <v>213</v>
      </c>
    </row>
    <row r="94">
      <c r="A94" s="5" t="str">
        <f>Raw_Data!A94</f>
        <v>TRK100092</v>
      </c>
      <c r="B94" s="5" t="str">
        <f>TRIM(Raw_Data!B94)</f>
        <v>Delhivery</v>
      </c>
      <c r="C94" s="5" t="str">
        <f>TRIM(Raw_Data!C94)</f>
        <v>Tier 2</v>
      </c>
      <c r="D94" s="6">
        <f>DATEVALUE(TEXT(Raw_Data!D94, "YYYY-MM-DD"))</f>
        <v>46026</v>
      </c>
      <c r="E94" s="6">
        <f>IF(ISBLANK(Raw_Data!E94), "", DATEVALUE(TEXT(Raw_Data!E94, "YYYY-MM-DD")))</f>
        <v>46031</v>
      </c>
      <c r="F94" s="5">
        <f t="shared" si="1"/>
        <v>4</v>
      </c>
      <c r="G94" s="5">
        <f t="shared" si="2"/>
        <v>5</v>
      </c>
      <c r="H94" s="5" t="str">
        <f t="shared" si="3"/>
        <v>SLA BREACH</v>
      </c>
      <c r="I94" s="5">
        <f>Raw_Data!F94</f>
        <v>2550</v>
      </c>
      <c r="J94" s="5">
        <f t="shared" si="4"/>
        <v>127.5</v>
      </c>
    </row>
    <row r="95">
      <c r="A95" s="5" t="str">
        <f>Raw_Data!A95</f>
        <v>TRK100093</v>
      </c>
      <c r="B95" s="5" t="str">
        <f>TRIM(Raw_Data!B95)</f>
        <v>EcomExpress</v>
      </c>
      <c r="C95" s="5" t="str">
        <f>TRIM(Raw_Data!C95)</f>
        <v>Tier 3</v>
      </c>
      <c r="D95" s="6">
        <f>DATEVALUE(TEXT(Raw_Data!D95, "YYYY-MM-DD"))</f>
        <v>46044</v>
      </c>
      <c r="E95" s="6">
        <f>IF(ISBLANK(Raw_Data!E95), "", DATEVALUE(TEXT(Raw_Data!E95, "YYYY-MM-DD")))</f>
        <v>46050</v>
      </c>
      <c r="F95" s="5">
        <f t="shared" si="1"/>
        <v>6</v>
      </c>
      <c r="G95" s="5">
        <f t="shared" si="2"/>
        <v>5</v>
      </c>
      <c r="H95" s="5" t="str">
        <f t="shared" si="3"/>
        <v>ON TIME</v>
      </c>
      <c r="I95" s="5">
        <f>Raw_Data!F95</f>
        <v>1665</v>
      </c>
      <c r="J95" s="5">
        <f t="shared" si="4"/>
        <v>0</v>
      </c>
    </row>
    <row r="96">
      <c r="A96" s="5" t="str">
        <f>Raw_Data!A96</f>
        <v>TRK100094</v>
      </c>
      <c r="B96" s="5" t="str">
        <f>TRIM(Raw_Data!B96)</f>
        <v>EcomExpress</v>
      </c>
      <c r="C96" s="5" t="str">
        <f>TRIM(Raw_Data!C96)</f>
        <v>Metro</v>
      </c>
      <c r="D96" s="6">
        <f>DATEVALUE(TEXT(Raw_Data!D96, "YYYY-MM-DD"))</f>
        <v>46030</v>
      </c>
      <c r="E96" s="6">
        <f>IF(ISBLANK(Raw_Data!E96), "", DATEVALUE(TEXT(Raw_Data!E96, "YYYY-MM-DD")))</f>
        <v>46033</v>
      </c>
      <c r="F96" s="5">
        <f t="shared" si="1"/>
        <v>2</v>
      </c>
      <c r="G96" s="5">
        <f t="shared" si="2"/>
        <v>2</v>
      </c>
      <c r="H96" s="5" t="str">
        <f t="shared" si="3"/>
        <v>ON TIME</v>
      </c>
      <c r="I96" s="5">
        <f>Raw_Data!F96</f>
        <v>9067</v>
      </c>
      <c r="J96" s="5">
        <f t="shared" si="4"/>
        <v>0</v>
      </c>
    </row>
    <row r="97">
      <c r="A97" s="5" t="str">
        <f>Raw_Data!A97</f>
        <v>TRK100095</v>
      </c>
      <c r="B97" s="5" t="str">
        <f>TRIM(Raw_Data!B97)</f>
        <v>Delhivery</v>
      </c>
      <c r="C97" s="5" t="str">
        <f>TRIM(Raw_Data!C97)</f>
        <v>Tier 3</v>
      </c>
      <c r="D97" s="6">
        <f>DATEVALUE(TEXT(Raw_Data!D97, "YYYY-MM-DD"))</f>
        <v>46046</v>
      </c>
      <c r="E97" s="6">
        <f>IF(ISBLANK(Raw_Data!E97), "", DATEVALUE(TEXT(Raw_Data!E97, "YYYY-MM-DD")))</f>
        <v>46052</v>
      </c>
      <c r="F97" s="5">
        <f t="shared" si="1"/>
        <v>6</v>
      </c>
      <c r="G97" s="5">
        <f t="shared" si="2"/>
        <v>5</v>
      </c>
      <c r="H97" s="5" t="str">
        <f t="shared" si="3"/>
        <v>ON TIME</v>
      </c>
      <c r="I97" s="5">
        <f>Raw_Data!F97</f>
        <v>2533</v>
      </c>
      <c r="J97" s="5">
        <f t="shared" si="4"/>
        <v>0</v>
      </c>
    </row>
    <row r="98">
      <c r="A98" s="5" t="str">
        <f>Raw_Data!A98</f>
        <v>TRK100096</v>
      </c>
      <c r="B98" s="5" t="str">
        <f>TRIM(Raw_Data!B98)</f>
        <v>Delhivery</v>
      </c>
      <c r="C98" s="5" t="str">
        <f>TRIM(Raw_Data!C98)</f>
        <v>Tier 3</v>
      </c>
      <c r="D98" s="6">
        <f>DATEVALUE(TEXT(Raw_Data!D98, "YYYY-MM-DD"))</f>
        <v>46079</v>
      </c>
      <c r="E98" s="6">
        <f>IF(ISBLANK(Raw_Data!E98), "", DATEVALUE(TEXT(Raw_Data!E98, "YYYY-MM-DD")))</f>
        <v>46085</v>
      </c>
      <c r="F98" s="5">
        <f t="shared" si="1"/>
        <v>6</v>
      </c>
      <c r="G98" s="5">
        <f t="shared" si="2"/>
        <v>5</v>
      </c>
      <c r="H98" s="5" t="str">
        <f t="shared" si="3"/>
        <v>ON TIME</v>
      </c>
      <c r="I98" s="5">
        <f>Raw_Data!F98</f>
        <v>6967</v>
      </c>
      <c r="J98" s="5">
        <f t="shared" si="4"/>
        <v>0</v>
      </c>
    </row>
    <row r="99">
      <c r="A99" s="5" t="str">
        <f>Raw_Data!A99</f>
        <v>TRK100097</v>
      </c>
      <c r="B99" s="5" t="str">
        <f>TRIM(Raw_Data!B99)</f>
        <v>BlueDart</v>
      </c>
      <c r="C99" s="5" t="str">
        <f>TRIM(Raw_Data!C99)</f>
        <v>Tier 2</v>
      </c>
      <c r="D99" s="6">
        <f>DATEVALUE(TEXT(Raw_Data!D99, "YYYY-MM-DD"))</f>
        <v>46070</v>
      </c>
      <c r="E99" s="6">
        <f>IF(ISBLANK(Raw_Data!E99), "", DATEVALUE(TEXT(Raw_Data!E99, "YYYY-MM-DD")))</f>
        <v>46074</v>
      </c>
      <c r="F99" s="5">
        <f t="shared" si="1"/>
        <v>4</v>
      </c>
      <c r="G99" s="5">
        <f t="shared" si="2"/>
        <v>4</v>
      </c>
      <c r="H99" s="5" t="str">
        <f t="shared" si="3"/>
        <v>ON TIME</v>
      </c>
      <c r="I99" s="5">
        <f>Raw_Data!F99</f>
        <v>645</v>
      </c>
      <c r="J99" s="5">
        <f t="shared" si="4"/>
        <v>0</v>
      </c>
    </row>
    <row r="100">
      <c r="A100" s="5" t="str">
        <f>Raw_Data!A100</f>
        <v>TRK100098</v>
      </c>
      <c r="B100" s="5" t="str">
        <f>TRIM(Raw_Data!B100)</f>
        <v>BlueDart</v>
      </c>
      <c r="C100" s="5" t="str">
        <f>TRIM(Raw_Data!C100)</f>
        <v>Tier 2</v>
      </c>
      <c r="D100" s="6">
        <f>DATEVALUE(TEXT(Raw_Data!D100, "YYYY-MM-DD"))</f>
        <v>46080</v>
      </c>
      <c r="E100" s="6" t="str">
        <f>IF(ISBLANK(Raw_Data!E100), "", DATEVALUE(TEXT(Raw_Data!E100, "YYYY-MM-DD")))</f>
        <v/>
      </c>
      <c r="F100" s="5">
        <f t="shared" si="1"/>
        <v>4</v>
      </c>
      <c r="G100" s="5" t="str">
        <f t="shared" si="2"/>
        <v>In-Transit</v>
      </c>
      <c r="H100" s="5" t="str">
        <f t="shared" si="3"/>
        <v>Pending</v>
      </c>
      <c r="I100" s="5">
        <f>Raw_Data!F100</f>
        <v>4888</v>
      </c>
      <c r="J100" s="5">
        <f t="shared" si="4"/>
        <v>0</v>
      </c>
    </row>
    <row r="101">
      <c r="A101" s="5" t="str">
        <f>Raw_Data!A101</f>
        <v>TRK100099</v>
      </c>
      <c r="B101" s="5" t="str">
        <f>TRIM(Raw_Data!B101)</f>
        <v>BlueDart</v>
      </c>
      <c r="C101" s="5" t="str">
        <f>TRIM(Raw_Data!C101)</f>
        <v>Metro</v>
      </c>
      <c r="D101" s="6">
        <f>DATEVALUE(TEXT(Raw_Data!D101, "YYYY-MM-DD"))</f>
        <v>46044</v>
      </c>
      <c r="E101" s="6">
        <f>IF(ISBLANK(Raw_Data!E101), "", DATEVALUE(TEXT(Raw_Data!E101, "YYYY-MM-DD")))</f>
        <v>46046</v>
      </c>
      <c r="F101" s="5">
        <f t="shared" si="1"/>
        <v>2</v>
      </c>
      <c r="G101" s="5">
        <f t="shared" si="2"/>
        <v>2</v>
      </c>
      <c r="H101" s="5" t="str">
        <f t="shared" si="3"/>
        <v>ON TIME</v>
      </c>
      <c r="I101" s="5">
        <f>Raw_Data!F101</f>
        <v>8332</v>
      </c>
      <c r="J101" s="5">
        <f t="shared" si="4"/>
        <v>0</v>
      </c>
    </row>
    <row r="102">
      <c r="A102" s="5" t="str">
        <f>Raw_Data!A102</f>
        <v>TRK100100</v>
      </c>
      <c r="B102" s="5" t="str">
        <f>TRIM(Raw_Data!B102)</f>
        <v>EcomExpress</v>
      </c>
      <c r="C102" s="5" t="str">
        <f>TRIM(Raw_Data!C102)</f>
        <v>Metro</v>
      </c>
      <c r="D102" s="6">
        <f>DATEVALUE(TEXT(Raw_Data!D102, "YYYY-MM-DD"))</f>
        <v>46054</v>
      </c>
      <c r="E102" s="6">
        <f>IF(ISBLANK(Raw_Data!E102), "", DATEVALUE(TEXT(Raw_Data!E102, "YYYY-MM-DD")))</f>
        <v>46056</v>
      </c>
      <c r="F102" s="5">
        <f t="shared" si="1"/>
        <v>2</v>
      </c>
      <c r="G102" s="5">
        <f t="shared" si="2"/>
        <v>2</v>
      </c>
      <c r="H102" s="5" t="str">
        <f t="shared" si="3"/>
        <v>ON TIME</v>
      </c>
      <c r="I102" s="5">
        <f>Raw_Data!F102</f>
        <v>9123</v>
      </c>
      <c r="J102" s="5">
        <f t="shared" si="4"/>
        <v>0</v>
      </c>
    </row>
    <row r="103">
      <c r="A103" s="5" t="str">
        <f>Raw_Data!A103</f>
        <v>TRK100101</v>
      </c>
      <c r="B103" s="5" t="str">
        <f>TRIM(Raw_Data!B103)</f>
        <v>EcomExpress</v>
      </c>
      <c r="C103" s="5" t="str">
        <f>TRIM(Raw_Data!C103)</f>
        <v>Tier 3</v>
      </c>
      <c r="D103" s="6">
        <f>DATEVALUE(TEXT(Raw_Data!D103, "YYYY-MM-DD"))</f>
        <v>46054</v>
      </c>
      <c r="E103" s="6">
        <f>IF(ISBLANK(Raw_Data!E103), "", DATEVALUE(TEXT(Raw_Data!E103, "YYYY-MM-DD")))</f>
        <v>46060</v>
      </c>
      <c r="F103" s="5">
        <f t="shared" si="1"/>
        <v>6</v>
      </c>
      <c r="G103" s="5">
        <f t="shared" si="2"/>
        <v>5</v>
      </c>
      <c r="H103" s="5" t="str">
        <f t="shared" si="3"/>
        <v>ON TIME</v>
      </c>
      <c r="I103" s="5">
        <f>Raw_Data!F103</f>
        <v>9396</v>
      </c>
      <c r="J103" s="5">
        <f t="shared" si="4"/>
        <v>0</v>
      </c>
    </row>
    <row r="104">
      <c r="A104" s="5" t="str">
        <f>Raw_Data!A104</f>
        <v>TRK100102</v>
      </c>
      <c r="B104" s="5" t="str">
        <f>TRIM(Raw_Data!B104)</f>
        <v>EcomExpress</v>
      </c>
      <c r="C104" s="5" t="str">
        <f>TRIM(Raw_Data!C104)</f>
        <v>Tier 2</v>
      </c>
      <c r="D104" s="6">
        <f>DATEVALUE(TEXT(Raw_Data!D104, "YYYY-MM-DD"))</f>
        <v>46082</v>
      </c>
      <c r="E104" s="6">
        <f>IF(ISBLANK(Raw_Data!E104), "", DATEVALUE(TEXT(Raw_Data!E104, "YYYY-MM-DD")))</f>
        <v>46086</v>
      </c>
      <c r="F104" s="5">
        <f t="shared" si="1"/>
        <v>4</v>
      </c>
      <c r="G104" s="5">
        <f t="shared" si="2"/>
        <v>4</v>
      </c>
      <c r="H104" s="5" t="str">
        <f t="shared" si="3"/>
        <v>ON TIME</v>
      </c>
      <c r="I104" s="5">
        <f>Raw_Data!F104</f>
        <v>8673</v>
      </c>
      <c r="J104" s="5">
        <f t="shared" si="4"/>
        <v>0</v>
      </c>
    </row>
    <row r="105">
      <c r="A105" s="5" t="str">
        <f>Raw_Data!A105</f>
        <v>TRK100103</v>
      </c>
      <c r="B105" s="5" t="str">
        <f>TRIM(Raw_Data!B105)</f>
        <v>Delhivery</v>
      </c>
      <c r="C105" s="5" t="str">
        <f>TRIM(Raw_Data!C105)</f>
        <v>Tier 3</v>
      </c>
      <c r="D105" s="6">
        <f>DATEVALUE(TEXT(Raw_Data!D105, "YYYY-MM-DD"))</f>
        <v>46056</v>
      </c>
      <c r="E105" s="6">
        <f>IF(ISBLANK(Raw_Data!E105), "", DATEVALUE(TEXT(Raw_Data!E105, "YYYY-MM-DD")))</f>
        <v>46062</v>
      </c>
      <c r="F105" s="5">
        <f t="shared" si="1"/>
        <v>6</v>
      </c>
      <c r="G105" s="5">
        <f t="shared" si="2"/>
        <v>5</v>
      </c>
      <c r="H105" s="5" t="str">
        <f t="shared" si="3"/>
        <v>ON TIME</v>
      </c>
      <c r="I105" s="5">
        <f>Raw_Data!F105</f>
        <v>3132</v>
      </c>
      <c r="J105" s="5">
        <f t="shared" si="4"/>
        <v>0</v>
      </c>
    </row>
    <row r="106">
      <c r="A106" s="5" t="str">
        <f>Raw_Data!A106</f>
        <v>TRK100104</v>
      </c>
      <c r="B106" s="5" t="str">
        <f>TRIM(Raw_Data!B106)</f>
        <v>EcomExpress</v>
      </c>
      <c r="C106" s="5" t="str">
        <f>TRIM(Raw_Data!C106)</f>
        <v>Tier 2</v>
      </c>
      <c r="D106" s="6">
        <f>DATEVALUE(TEXT(Raw_Data!D106, "YYYY-MM-DD"))</f>
        <v>46074</v>
      </c>
      <c r="E106" s="6">
        <f>IF(ISBLANK(Raw_Data!E106), "", DATEVALUE(TEXT(Raw_Data!E106, "YYYY-MM-DD")))</f>
        <v>46080</v>
      </c>
      <c r="F106" s="5">
        <f t="shared" si="1"/>
        <v>4</v>
      </c>
      <c r="G106" s="5">
        <f t="shared" si="2"/>
        <v>5</v>
      </c>
      <c r="H106" s="5" t="str">
        <f t="shared" si="3"/>
        <v>SLA BREACH</v>
      </c>
      <c r="I106" s="5">
        <f>Raw_Data!F106</f>
        <v>4994</v>
      </c>
      <c r="J106" s="5">
        <f t="shared" si="4"/>
        <v>249.7</v>
      </c>
    </row>
    <row r="107">
      <c r="A107" s="5" t="str">
        <f>Raw_Data!A107</f>
        <v>TRK100105</v>
      </c>
      <c r="B107" s="5" t="str">
        <f>TRIM(Raw_Data!B107)</f>
        <v>BlueDart</v>
      </c>
      <c r="C107" s="5" t="str">
        <f>TRIM(Raw_Data!C107)</f>
        <v>Tier 3</v>
      </c>
      <c r="D107" s="6">
        <f>DATEVALUE(TEXT(Raw_Data!D107, "YYYY-MM-DD"))</f>
        <v>46069</v>
      </c>
      <c r="E107" s="6">
        <f>IF(ISBLANK(Raw_Data!E107), "", DATEVALUE(TEXT(Raw_Data!E107, "YYYY-MM-DD")))</f>
        <v>46075</v>
      </c>
      <c r="F107" s="5">
        <f t="shared" si="1"/>
        <v>6</v>
      </c>
      <c r="G107" s="5">
        <f t="shared" si="2"/>
        <v>5</v>
      </c>
      <c r="H107" s="5" t="str">
        <f t="shared" si="3"/>
        <v>ON TIME</v>
      </c>
      <c r="I107" s="5">
        <f>Raw_Data!F107</f>
        <v>8556</v>
      </c>
      <c r="J107" s="5">
        <f t="shared" si="4"/>
        <v>0</v>
      </c>
    </row>
    <row r="108">
      <c r="A108" s="5" t="str">
        <f>Raw_Data!A108</f>
        <v>TRK100106</v>
      </c>
      <c r="B108" s="5" t="str">
        <f>TRIM(Raw_Data!B108)</f>
        <v>Delhivery</v>
      </c>
      <c r="C108" s="5" t="str">
        <f>TRIM(Raw_Data!C108)</f>
        <v>Tier 2</v>
      </c>
      <c r="D108" s="6">
        <f>DATEVALUE(TEXT(Raw_Data!D108, "YYYY-MM-DD"))</f>
        <v>46028</v>
      </c>
      <c r="E108" s="6">
        <f>IF(ISBLANK(Raw_Data!E108), "", DATEVALUE(TEXT(Raw_Data!E108, "YYYY-MM-DD")))</f>
        <v>46032</v>
      </c>
      <c r="F108" s="5">
        <f t="shared" si="1"/>
        <v>4</v>
      </c>
      <c r="G108" s="5">
        <f t="shared" si="2"/>
        <v>4</v>
      </c>
      <c r="H108" s="5" t="str">
        <f t="shared" si="3"/>
        <v>ON TIME</v>
      </c>
      <c r="I108" s="5">
        <f>Raw_Data!F108</f>
        <v>8011</v>
      </c>
      <c r="J108" s="5">
        <f t="shared" si="4"/>
        <v>0</v>
      </c>
    </row>
    <row r="109">
      <c r="A109" s="5" t="str">
        <f>Raw_Data!A109</f>
        <v>TRK100107</v>
      </c>
      <c r="B109" s="5" t="str">
        <f>TRIM(Raw_Data!B109)</f>
        <v>Delhivery</v>
      </c>
      <c r="C109" s="5" t="str">
        <f>TRIM(Raw_Data!C109)</f>
        <v>Metro</v>
      </c>
      <c r="D109" s="6">
        <f>DATEVALUE(TEXT(Raw_Data!D109, "YYYY-MM-DD"))</f>
        <v>46061</v>
      </c>
      <c r="E109" s="6">
        <f>IF(ISBLANK(Raw_Data!E109), "", DATEVALUE(TEXT(Raw_Data!E109, "YYYY-MM-DD")))</f>
        <v>46064</v>
      </c>
      <c r="F109" s="5">
        <f t="shared" si="1"/>
        <v>2</v>
      </c>
      <c r="G109" s="5">
        <f t="shared" si="2"/>
        <v>3</v>
      </c>
      <c r="H109" s="5" t="str">
        <f t="shared" si="3"/>
        <v>SLA BREACH</v>
      </c>
      <c r="I109" s="5">
        <f>Raw_Data!F109</f>
        <v>9655</v>
      </c>
      <c r="J109" s="5">
        <f t="shared" si="4"/>
        <v>482.75</v>
      </c>
    </row>
    <row r="110">
      <c r="A110" s="5" t="str">
        <f>Raw_Data!A110</f>
        <v>TRK100108</v>
      </c>
      <c r="B110" s="5" t="str">
        <f>TRIM(Raw_Data!B110)</f>
        <v>Delhivery</v>
      </c>
      <c r="C110" s="5" t="str">
        <f>TRIM(Raw_Data!C110)</f>
        <v>Metro</v>
      </c>
      <c r="D110" s="6">
        <f>DATEVALUE(TEXT(Raw_Data!D110, "YYYY-MM-DD"))</f>
        <v>46057</v>
      </c>
      <c r="E110" s="6">
        <f>IF(ISBLANK(Raw_Data!E110), "", DATEVALUE(TEXT(Raw_Data!E110, "YYYY-MM-DD")))</f>
        <v>46059</v>
      </c>
      <c r="F110" s="5">
        <f t="shared" si="1"/>
        <v>2</v>
      </c>
      <c r="G110" s="5">
        <f t="shared" si="2"/>
        <v>3</v>
      </c>
      <c r="H110" s="5" t="str">
        <f t="shared" si="3"/>
        <v>SLA BREACH</v>
      </c>
      <c r="I110" s="5">
        <f>Raw_Data!F110</f>
        <v>10926</v>
      </c>
      <c r="J110" s="5">
        <f t="shared" si="4"/>
        <v>546.3</v>
      </c>
    </row>
    <row r="111">
      <c r="A111" s="5" t="str">
        <f>Raw_Data!A111</f>
        <v>TRK100109</v>
      </c>
      <c r="B111" s="5" t="str">
        <f>TRIM(Raw_Data!B111)</f>
        <v>BlueDart</v>
      </c>
      <c r="C111" s="5" t="str">
        <f>TRIM(Raw_Data!C111)</f>
        <v>Tier 2</v>
      </c>
      <c r="D111" s="6">
        <f>DATEVALUE(TEXT(Raw_Data!D111, "YYYY-MM-DD"))</f>
        <v>46043</v>
      </c>
      <c r="E111" s="6">
        <f>IF(ISBLANK(Raw_Data!E111), "", DATEVALUE(TEXT(Raw_Data!E111, "YYYY-MM-DD")))</f>
        <v>46047</v>
      </c>
      <c r="F111" s="5">
        <f t="shared" si="1"/>
        <v>4</v>
      </c>
      <c r="G111" s="5">
        <f t="shared" si="2"/>
        <v>3</v>
      </c>
      <c r="H111" s="5" t="str">
        <f t="shared" si="3"/>
        <v>ON TIME</v>
      </c>
      <c r="I111" s="5">
        <f>Raw_Data!F111</f>
        <v>10733</v>
      </c>
      <c r="J111" s="5">
        <f t="shared" si="4"/>
        <v>0</v>
      </c>
    </row>
    <row r="112">
      <c r="A112" s="5" t="str">
        <f>Raw_Data!A112</f>
        <v>TRK100110</v>
      </c>
      <c r="B112" s="5" t="str">
        <f>TRIM(Raw_Data!B112)</f>
        <v>BlueDart</v>
      </c>
      <c r="C112" s="5" t="str">
        <f>TRIM(Raw_Data!C112)</f>
        <v>Tier 3</v>
      </c>
      <c r="D112" s="6">
        <f>DATEVALUE(TEXT(Raw_Data!D112, "YYYY-MM-DD"))</f>
        <v>46028</v>
      </c>
      <c r="E112" s="6">
        <f>IF(ISBLANK(Raw_Data!E112), "", DATEVALUE(TEXT(Raw_Data!E112, "YYYY-MM-DD")))</f>
        <v>46034</v>
      </c>
      <c r="F112" s="5">
        <f t="shared" si="1"/>
        <v>6</v>
      </c>
      <c r="G112" s="5">
        <f t="shared" si="2"/>
        <v>5</v>
      </c>
      <c r="H112" s="5" t="str">
        <f t="shared" si="3"/>
        <v>ON TIME</v>
      </c>
      <c r="I112" s="5">
        <f>Raw_Data!F112</f>
        <v>2328</v>
      </c>
      <c r="J112" s="5">
        <f t="shared" si="4"/>
        <v>0</v>
      </c>
    </row>
    <row r="113">
      <c r="A113" s="5" t="str">
        <f>Raw_Data!A113</f>
        <v>TRK100111</v>
      </c>
      <c r="B113" s="5" t="str">
        <f>TRIM(Raw_Data!B113)</f>
        <v>BlueDart</v>
      </c>
      <c r="C113" s="5" t="str">
        <f>TRIM(Raw_Data!C113)</f>
        <v>Metro</v>
      </c>
      <c r="D113" s="6">
        <f>DATEVALUE(TEXT(Raw_Data!D113, "YYYY-MM-DD"))</f>
        <v>46065</v>
      </c>
      <c r="E113" s="6">
        <f>IF(ISBLANK(Raw_Data!E113), "", DATEVALUE(TEXT(Raw_Data!E113, "YYYY-MM-DD")))</f>
        <v>46067</v>
      </c>
      <c r="F113" s="5">
        <f t="shared" si="1"/>
        <v>2</v>
      </c>
      <c r="G113" s="5">
        <f t="shared" si="2"/>
        <v>2</v>
      </c>
      <c r="H113" s="5" t="str">
        <f t="shared" si="3"/>
        <v>ON TIME</v>
      </c>
      <c r="I113" s="5">
        <f>Raw_Data!F113</f>
        <v>10800</v>
      </c>
      <c r="J113" s="5">
        <f t="shared" si="4"/>
        <v>0</v>
      </c>
    </row>
    <row r="114">
      <c r="A114" s="5" t="str">
        <f>Raw_Data!A114</f>
        <v>TRK100112</v>
      </c>
      <c r="B114" s="5" t="str">
        <f>TRIM(Raw_Data!B114)</f>
        <v>Delhivery</v>
      </c>
      <c r="C114" s="5" t="str">
        <f>TRIM(Raw_Data!C114)</f>
        <v>Tier 2</v>
      </c>
      <c r="D114" s="6">
        <f>DATEVALUE(TEXT(Raw_Data!D114, "YYYY-MM-DD"))</f>
        <v>46042</v>
      </c>
      <c r="E114" s="6">
        <f>IF(ISBLANK(Raw_Data!E114), "", DATEVALUE(TEXT(Raw_Data!E114, "YYYY-MM-DD")))</f>
        <v>46049</v>
      </c>
      <c r="F114" s="5">
        <f t="shared" si="1"/>
        <v>4</v>
      </c>
      <c r="G114" s="5">
        <f t="shared" si="2"/>
        <v>6</v>
      </c>
      <c r="H114" s="5" t="str">
        <f t="shared" si="3"/>
        <v>SLA BREACH</v>
      </c>
      <c r="I114" s="5">
        <f>Raw_Data!F114</f>
        <v>9630</v>
      </c>
      <c r="J114" s="5">
        <f t="shared" si="4"/>
        <v>481.5</v>
      </c>
    </row>
    <row r="115">
      <c r="A115" s="5" t="str">
        <f>Raw_Data!A115</f>
        <v>TRK100113</v>
      </c>
      <c r="B115" s="5" t="str">
        <f>TRIM(Raw_Data!B115)</f>
        <v>Delhivery</v>
      </c>
      <c r="C115" s="5" t="str">
        <f>TRIM(Raw_Data!C115)</f>
        <v>Tier 2</v>
      </c>
      <c r="D115" s="6">
        <f>DATEVALUE(TEXT(Raw_Data!D115, "YYYY-MM-DD"))</f>
        <v>46061</v>
      </c>
      <c r="E115" s="6" t="str">
        <f>IF(ISBLANK(Raw_Data!E115), "", DATEVALUE(TEXT(Raw_Data!E115, "YYYY-MM-DD")))</f>
        <v/>
      </c>
      <c r="F115" s="5">
        <f t="shared" si="1"/>
        <v>4</v>
      </c>
      <c r="G115" s="5" t="str">
        <f t="shared" si="2"/>
        <v>In-Transit</v>
      </c>
      <c r="H115" s="5" t="str">
        <f t="shared" si="3"/>
        <v>Pending</v>
      </c>
      <c r="I115" s="5">
        <f>Raw_Data!F115</f>
        <v>5305</v>
      </c>
      <c r="J115" s="5">
        <f t="shared" si="4"/>
        <v>0</v>
      </c>
    </row>
    <row r="116">
      <c r="A116" s="5" t="str">
        <f>Raw_Data!A116</f>
        <v>TRK100114</v>
      </c>
      <c r="B116" s="5" t="str">
        <f>TRIM(Raw_Data!B116)</f>
        <v>EcomExpress</v>
      </c>
      <c r="C116" s="5" t="str">
        <f>TRIM(Raw_Data!C116)</f>
        <v>Tier 3</v>
      </c>
      <c r="D116" s="6">
        <f>DATEVALUE(TEXT(Raw_Data!D116, "YYYY-MM-DD"))</f>
        <v>46050</v>
      </c>
      <c r="E116" s="6">
        <f>IF(ISBLANK(Raw_Data!E116), "", DATEVALUE(TEXT(Raw_Data!E116, "YYYY-MM-DD")))</f>
        <v>46056</v>
      </c>
      <c r="F116" s="5">
        <f t="shared" si="1"/>
        <v>6</v>
      </c>
      <c r="G116" s="5">
        <f t="shared" si="2"/>
        <v>5</v>
      </c>
      <c r="H116" s="5" t="str">
        <f t="shared" si="3"/>
        <v>ON TIME</v>
      </c>
      <c r="I116" s="5">
        <f>Raw_Data!F116</f>
        <v>1306</v>
      </c>
      <c r="J116" s="5">
        <f t="shared" si="4"/>
        <v>0</v>
      </c>
    </row>
    <row r="117">
      <c r="A117" s="5" t="str">
        <f>Raw_Data!A117</f>
        <v>TRK100115</v>
      </c>
      <c r="B117" s="5" t="str">
        <f>TRIM(Raw_Data!B117)</f>
        <v>EcomExpress</v>
      </c>
      <c r="C117" s="5" t="str">
        <f>TRIM(Raw_Data!C117)</f>
        <v>Tier 2</v>
      </c>
      <c r="D117" s="6">
        <f>DATEVALUE(TEXT(Raw_Data!D117, "YYYY-MM-DD"))</f>
        <v>46067</v>
      </c>
      <c r="E117" s="6">
        <f>IF(ISBLANK(Raw_Data!E117), "", DATEVALUE(TEXT(Raw_Data!E117, "YYYY-MM-DD")))</f>
        <v>46073</v>
      </c>
      <c r="F117" s="5">
        <f t="shared" si="1"/>
        <v>4</v>
      </c>
      <c r="G117" s="5">
        <f t="shared" si="2"/>
        <v>5</v>
      </c>
      <c r="H117" s="5" t="str">
        <f t="shared" si="3"/>
        <v>SLA BREACH</v>
      </c>
      <c r="I117" s="5">
        <f>Raw_Data!F117</f>
        <v>10155</v>
      </c>
      <c r="J117" s="5">
        <f t="shared" si="4"/>
        <v>507.75</v>
      </c>
    </row>
    <row r="118">
      <c r="A118" s="5" t="str">
        <f>Raw_Data!A118</f>
        <v>TRK100116</v>
      </c>
      <c r="B118" s="5" t="str">
        <f>TRIM(Raw_Data!B118)</f>
        <v>BlueDart</v>
      </c>
      <c r="C118" s="5" t="str">
        <f>TRIM(Raw_Data!C118)</f>
        <v>Metro</v>
      </c>
      <c r="D118" s="6">
        <f>DATEVALUE(TEXT(Raw_Data!D118, "YYYY-MM-DD"))</f>
        <v>46045</v>
      </c>
      <c r="E118" s="6">
        <f>IF(ISBLANK(Raw_Data!E118), "", DATEVALUE(TEXT(Raw_Data!E118, "YYYY-MM-DD")))</f>
        <v>46048</v>
      </c>
      <c r="F118" s="5">
        <f t="shared" si="1"/>
        <v>2</v>
      </c>
      <c r="G118" s="5">
        <f t="shared" si="2"/>
        <v>2</v>
      </c>
      <c r="H118" s="5" t="str">
        <f t="shared" si="3"/>
        <v>ON TIME</v>
      </c>
      <c r="I118" s="5">
        <f>Raw_Data!F118</f>
        <v>7986</v>
      </c>
      <c r="J118" s="5">
        <f t="shared" si="4"/>
        <v>0</v>
      </c>
    </row>
    <row r="119">
      <c r="A119" s="5" t="str">
        <f>Raw_Data!A119</f>
        <v>TRK100117</v>
      </c>
      <c r="B119" s="5" t="str">
        <f>TRIM(Raw_Data!B119)</f>
        <v>Delhivery</v>
      </c>
      <c r="C119" s="5" t="str">
        <f>TRIM(Raw_Data!C119)</f>
        <v>Metro</v>
      </c>
      <c r="D119" s="6">
        <f>DATEVALUE(TEXT(Raw_Data!D119, "YYYY-MM-DD"))</f>
        <v>46025</v>
      </c>
      <c r="E119" s="6">
        <f>IF(ISBLANK(Raw_Data!E119), "", DATEVALUE(TEXT(Raw_Data!E119, "YYYY-MM-DD")))</f>
        <v>46027</v>
      </c>
      <c r="F119" s="5">
        <f t="shared" si="1"/>
        <v>2</v>
      </c>
      <c r="G119" s="5">
        <f t="shared" si="2"/>
        <v>1</v>
      </c>
      <c r="H119" s="5" t="str">
        <f t="shared" si="3"/>
        <v>ON TIME</v>
      </c>
      <c r="I119" s="5">
        <f>Raw_Data!F119</f>
        <v>8702</v>
      </c>
      <c r="J119" s="5">
        <f t="shared" si="4"/>
        <v>0</v>
      </c>
    </row>
    <row r="120">
      <c r="A120" s="5" t="str">
        <f>Raw_Data!A120</f>
        <v>TRK100118</v>
      </c>
      <c r="B120" s="5" t="str">
        <f>TRIM(Raw_Data!B120)</f>
        <v>EcomExpress</v>
      </c>
      <c r="C120" s="5" t="str">
        <f>TRIM(Raw_Data!C120)</f>
        <v>Tier 3</v>
      </c>
      <c r="D120" s="6">
        <f>DATEVALUE(TEXT(Raw_Data!D120, "YYYY-MM-DD"))</f>
        <v>46078</v>
      </c>
      <c r="E120" s="6">
        <f>IF(ISBLANK(Raw_Data!E120), "", DATEVALUE(TEXT(Raw_Data!E120, "YYYY-MM-DD")))</f>
        <v>46086</v>
      </c>
      <c r="F120" s="5">
        <f t="shared" si="1"/>
        <v>6</v>
      </c>
      <c r="G120" s="5">
        <f t="shared" si="2"/>
        <v>7</v>
      </c>
      <c r="H120" s="5" t="str">
        <f t="shared" si="3"/>
        <v>SLA BREACH</v>
      </c>
      <c r="I120" s="5">
        <f>Raw_Data!F120</f>
        <v>2368</v>
      </c>
      <c r="J120" s="5">
        <f t="shared" si="4"/>
        <v>118.4</v>
      </c>
    </row>
    <row r="121">
      <c r="A121" s="5" t="str">
        <f>Raw_Data!A121</f>
        <v>TRK100119</v>
      </c>
      <c r="B121" s="5" t="str">
        <f>TRIM(Raw_Data!B121)</f>
        <v>BlueDart</v>
      </c>
      <c r="C121" s="5" t="str">
        <f>TRIM(Raw_Data!C121)</f>
        <v>Tier 3</v>
      </c>
      <c r="D121" s="6">
        <f>DATEVALUE(TEXT(Raw_Data!D121, "YYYY-MM-DD"))</f>
        <v>46062</v>
      </c>
      <c r="E121" s="6">
        <f>IF(ISBLANK(Raw_Data!E121), "", DATEVALUE(TEXT(Raw_Data!E121, "YYYY-MM-DD")))</f>
        <v>46068</v>
      </c>
      <c r="F121" s="5">
        <f t="shared" si="1"/>
        <v>6</v>
      </c>
      <c r="G121" s="5">
        <f t="shared" si="2"/>
        <v>5</v>
      </c>
      <c r="H121" s="5" t="str">
        <f t="shared" si="3"/>
        <v>ON TIME</v>
      </c>
      <c r="I121" s="5">
        <f>Raw_Data!F121</f>
        <v>8378</v>
      </c>
      <c r="J121" s="5">
        <f t="shared" si="4"/>
        <v>0</v>
      </c>
    </row>
    <row r="122">
      <c r="A122" s="5" t="str">
        <f>Raw_Data!A122</f>
        <v>TRK100120</v>
      </c>
      <c r="B122" s="5" t="str">
        <f>TRIM(Raw_Data!B122)</f>
        <v>BlueDart</v>
      </c>
      <c r="C122" s="5" t="str">
        <f>TRIM(Raw_Data!C122)</f>
        <v>Metro</v>
      </c>
      <c r="D122" s="6">
        <f>DATEVALUE(TEXT(Raw_Data!D122, "YYYY-MM-DD"))</f>
        <v>46040</v>
      </c>
      <c r="E122" s="6">
        <f>IF(ISBLANK(Raw_Data!E122), "", DATEVALUE(TEXT(Raw_Data!E122, "YYYY-MM-DD")))</f>
        <v>46043</v>
      </c>
      <c r="F122" s="5">
        <f t="shared" si="1"/>
        <v>2</v>
      </c>
      <c r="G122" s="5">
        <f t="shared" si="2"/>
        <v>3</v>
      </c>
      <c r="H122" s="5" t="str">
        <f t="shared" si="3"/>
        <v>SLA BREACH</v>
      </c>
      <c r="I122" s="5">
        <f>Raw_Data!F122</f>
        <v>6190</v>
      </c>
      <c r="J122" s="5">
        <f t="shared" si="4"/>
        <v>309.5</v>
      </c>
    </row>
    <row r="123">
      <c r="A123" s="5" t="str">
        <f>Raw_Data!A123</f>
        <v>TRK100121</v>
      </c>
      <c r="B123" s="5" t="str">
        <f>TRIM(Raw_Data!B123)</f>
        <v>EcomExpress</v>
      </c>
      <c r="C123" s="5" t="str">
        <f>TRIM(Raw_Data!C123)</f>
        <v>Tier 3</v>
      </c>
      <c r="D123" s="6">
        <f>DATEVALUE(TEXT(Raw_Data!D123, "YYYY-MM-DD"))</f>
        <v>46073</v>
      </c>
      <c r="E123" s="6">
        <f>IF(ISBLANK(Raw_Data!E123), "", DATEVALUE(TEXT(Raw_Data!E123, "YYYY-MM-DD")))</f>
        <v>46081</v>
      </c>
      <c r="F123" s="5">
        <f t="shared" si="1"/>
        <v>6</v>
      </c>
      <c r="G123" s="5">
        <f t="shared" si="2"/>
        <v>6</v>
      </c>
      <c r="H123" s="5" t="str">
        <f t="shared" si="3"/>
        <v>ON TIME</v>
      </c>
      <c r="I123" s="5">
        <f>Raw_Data!F123</f>
        <v>8327</v>
      </c>
      <c r="J123" s="5">
        <f t="shared" si="4"/>
        <v>0</v>
      </c>
    </row>
    <row r="124">
      <c r="A124" s="5" t="str">
        <f>Raw_Data!A124</f>
        <v>TRK100122</v>
      </c>
      <c r="B124" s="5" t="str">
        <f>TRIM(Raw_Data!B124)</f>
        <v>BlueDart</v>
      </c>
      <c r="C124" s="5" t="str">
        <f>TRIM(Raw_Data!C124)</f>
        <v>Metro</v>
      </c>
      <c r="D124" s="6">
        <f>DATEVALUE(TEXT(Raw_Data!D124, "YYYY-MM-DD"))</f>
        <v>46027</v>
      </c>
      <c r="E124" s="6">
        <f>IF(ISBLANK(Raw_Data!E124), "", DATEVALUE(TEXT(Raw_Data!E124, "YYYY-MM-DD")))</f>
        <v>46029</v>
      </c>
      <c r="F124" s="5">
        <f t="shared" si="1"/>
        <v>2</v>
      </c>
      <c r="G124" s="5">
        <f t="shared" si="2"/>
        <v>3</v>
      </c>
      <c r="H124" s="5" t="str">
        <f t="shared" si="3"/>
        <v>SLA BREACH</v>
      </c>
      <c r="I124" s="5">
        <f>Raw_Data!F124</f>
        <v>5929</v>
      </c>
      <c r="J124" s="5">
        <f t="shared" si="4"/>
        <v>296.45</v>
      </c>
    </row>
    <row r="125">
      <c r="A125" s="5" t="str">
        <f>Raw_Data!A125</f>
        <v>TRK100123</v>
      </c>
      <c r="B125" s="5" t="str">
        <f>TRIM(Raw_Data!B125)</f>
        <v>Delhivery</v>
      </c>
      <c r="C125" s="5" t="str">
        <f>TRIM(Raw_Data!C125)</f>
        <v>Tier 2</v>
      </c>
      <c r="D125" s="6">
        <f>DATEVALUE(TEXT(Raw_Data!D125, "YYYY-MM-DD"))</f>
        <v>46063</v>
      </c>
      <c r="E125" s="6">
        <f>IF(ISBLANK(Raw_Data!E125), "", DATEVALUE(TEXT(Raw_Data!E125, "YYYY-MM-DD")))</f>
        <v>46067</v>
      </c>
      <c r="F125" s="5">
        <f t="shared" si="1"/>
        <v>4</v>
      </c>
      <c r="G125" s="5">
        <f t="shared" si="2"/>
        <v>4</v>
      </c>
      <c r="H125" s="5" t="str">
        <f t="shared" si="3"/>
        <v>ON TIME</v>
      </c>
      <c r="I125" s="5">
        <f>Raw_Data!F125</f>
        <v>9576</v>
      </c>
      <c r="J125" s="5">
        <f t="shared" si="4"/>
        <v>0</v>
      </c>
    </row>
    <row r="126">
      <c r="A126" s="5" t="str">
        <f>Raw_Data!A126</f>
        <v>TRK100124</v>
      </c>
      <c r="B126" s="5" t="str">
        <f>TRIM(Raw_Data!B126)</f>
        <v>BlueDart</v>
      </c>
      <c r="C126" s="5" t="str">
        <f>TRIM(Raw_Data!C126)</f>
        <v>Tier 3</v>
      </c>
      <c r="D126" s="6">
        <f>DATEVALUE(TEXT(Raw_Data!D126, "YYYY-MM-DD"))</f>
        <v>46046</v>
      </c>
      <c r="E126" s="6">
        <f>IF(ISBLANK(Raw_Data!E126), "", DATEVALUE(TEXT(Raw_Data!E126, "YYYY-MM-DD")))</f>
        <v>46052</v>
      </c>
      <c r="F126" s="5">
        <f t="shared" si="1"/>
        <v>6</v>
      </c>
      <c r="G126" s="5">
        <f t="shared" si="2"/>
        <v>5</v>
      </c>
      <c r="H126" s="5" t="str">
        <f t="shared" si="3"/>
        <v>ON TIME</v>
      </c>
      <c r="I126" s="5">
        <f>Raw_Data!F126</f>
        <v>4064</v>
      </c>
      <c r="J126" s="5">
        <f t="shared" si="4"/>
        <v>0</v>
      </c>
    </row>
    <row r="127">
      <c r="A127" s="5" t="str">
        <f>Raw_Data!A127</f>
        <v>TRK100125</v>
      </c>
      <c r="B127" s="5" t="str">
        <f>TRIM(Raw_Data!B127)</f>
        <v>Delhivery</v>
      </c>
      <c r="C127" s="5" t="str">
        <f>TRIM(Raw_Data!C127)</f>
        <v>Metro</v>
      </c>
      <c r="D127" s="6">
        <f>DATEVALUE(TEXT(Raw_Data!D127, "YYYY-MM-DD"))</f>
        <v>46074</v>
      </c>
      <c r="E127" s="6">
        <f>IF(ISBLANK(Raw_Data!E127), "", DATEVALUE(TEXT(Raw_Data!E127, "YYYY-MM-DD")))</f>
        <v>46076</v>
      </c>
      <c r="F127" s="5">
        <f t="shared" si="1"/>
        <v>2</v>
      </c>
      <c r="G127" s="5">
        <f t="shared" si="2"/>
        <v>1</v>
      </c>
      <c r="H127" s="5" t="str">
        <f t="shared" si="3"/>
        <v>ON TIME</v>
      </c>
      <c r="I127" s="5">
        <f>Raw_Data!F127</f>
        <v>1889</v>
      </c>
      <c r="J127" s="5">
        <f t="shared" si="4"/>
        <v>0</v>
      </c>
    </row>
    <row r="128">
      <c r="A128" s="5" t="str">
        <f>Raw_Data!A128</f>
        <v>TRK100126</v>
      </c>
      <c r="B128" s="5" t="str">
        <f>TRIM(Raw_Data!B128)</f>
        <v>Delhivery</v>
      </c>
      <c r="C128" s="5" t="str">
        <f>TRIM(Raw_Data!C128)</f>
        <v>Tier 3</v>
      </c>
      <c r="D128" s="6">
        <f>DATEVALUE(TEXT(Raw_Data!D128, "YYYY-MM-DD"))</f>
        <v>46066</v>
      </c>
      <c r="E128" s="6">
        <f>IF(ISBLANK(Raw_Data!E128), "", DATEVALUE(TEXT(Raw_Data!E128, "YYYY-MM-DD")))</f>
        <v>46073</v>
      </c>
      <c r="F128" s="5">
        <f t="shared" si="1"/>
        <v>6</v>
      </c>
      <c r="G128" s="5">
        <f t="shared" si="2"/>
        <v>6</v>
      </c>
      <c r="H128" s="5" t="str">
        <f t="shared" si="3"/>
        <v>ON TIME</v>
      </c>
      <c r="I128" s="5">
        <f>Raw_Data!F128</f>
        <v>7774</v>
      </c>
      <c r="J128" s="5">
        <f t="shared" si="4"/>
        <v>0</v>
      </c>
    </row>
    <row r="129">
      <c r="A129" s="5" t="str">
        <f>Raw_Data!A129</f>
        <v>TRK100127</v>
      </c>
      <c r="B129" s="5" t="str">
        <f>TRIM(Raw_Data!B129)</f>
        <v>EcomExpress</v>
      </c>
      <c r="C129" s="5" t="str">
        <f>TRIM(Raw_Data!C129)</f>
        <v>Tier 2</v>
      </c>
      <c r="D129" s="6">
        <f>DATEVALUE(TEXT(Raw_Data!D129, "YYYY-MM-DD"))</f>
        <v>46083</v>
      </c>
      <c r="E129" s="6">
        <f>IF(ISBLANK(Raw_Data!E129), "", DATEVALUE(TEXT(Raw_Data!E129, "YYYY-MM-DD")))</f>
        <v>46089</v>
      </c>
      <c r="F129" s="5">
        <f t="shared" si="1"/>
        <v>4</v>
      </c>
      <c r="G129" s="5">
        <f t="shared" si="2"/>
        <v>5</v>
      </c>
      <c r="H129" s="5" t="str">
        <f t="shared" si="3"/>
        <v>SLA BREACH</v>
      </c>
      <c r="I129" s="5">
        <f>Raw_Data!F129</f>
        <v>1324</v>
      </c>
      <c r="J129" s="5">
        <f t="shared" si="4"/>
        <v>66.2</v>
      </c>
    </row>
    <row r="130">
      <c r="A130" s="5" t="str">
        <f>Raw_Data!A130</f>
        <v>TRK100128</v>
      </c>
      <c r="B130" s="5" t="str">
        <f>TRIM(Raw_Data!B130)</f>
        <v>EcomExpress</v>
      </c>
      <c r="C130" s="5" t="str">
        <f>TRIM(Raw_Data!C130)</f>
        <v>Metro</v>
      </c>
      <c r="D130" s="6">
        <f>DATEVALUE(TEXT(Raw_Data!D130, "YYYY-MM-DD"))</f>
        <v>46032</v>
      </c>
      <c r="E130" s="6">
        <f>IF(ISBLANK(Raw_Data!E130), "", DATEVALUE(TEXT(Raw_Data!E130, "YYYY-MM-DD")))</f>
        <v>46034</v>
      </c>
      <c r="F130" s="5">
        <f t="shared" si="1"/>
        <v>2</v>
      </c>
      <c r="G130" s="5">
        <f t="shared" si="2"/>
        <v>1</v>
      </c>
      <c r="H130" s="5" t="str">
        <f t="shared" si="3"/>
        <v>ON TIME</v>
      </c>
      <c r="I130" s="5">
        <f>Raw_Data!F130</f>
        <v>2765</v>
      </c>
      <c r="J130" s="5">
        <f t="shared" si="4"/>
        <v>0</v>
      </c>
    </row>
    <row r="131">
      <c r="A131" s="5" t="str">
        <f>Raw_Data!A131</f>
        <v>TRK100129</v>
      </c>
      <c r="B131" s="5" t="str">
        <f>TRIM(Raw_Data!B131)</f>
        <v>EcomExpress</v>
      </c>
      <c r="C131" s="5" t="str">
        <f>TRIM(Raw_Data!C131)</f>
        <v>Metro</v>
      </c>
      <c r="D131" s="6">
        <f>DATEVALUE(TEXT(Raw_Data!D131, "YYYY-MM-DD"))</f>
        <v>46066</v>
      </c>
      <c r="E131" s="6">
        <f>IF(ISBLANK(Raw_Data!E131), "", DATEVALUE(TEXT(Raw_Data!E131, "YYYY-MM-DD")))</f>
        <v>46068</v>
      </c>
      <c r="F131" s="5">
        <f t="shared" si="1"/>
        <v>2</v>
      </c>
      <c r="G131" s="5">
        <f t="shared" si="2"/>
        <v>1</v>
      </c>
      <c r="H131" s="5" t="str">
        <f t="shared" si="3"/>
        <v>ON TIME</v>
      </c>
      <c r="I131" s="5">
        <f>Raw_Data!F131</f>
        <v>1436</v>
      </c>
      <c r="J131" s="5">
        <f t="shared" si="4"/>
        <v>0</v>
      </c>
    </row>
    <row r="132">
      <c r="A132" s="5" t="str">
        <f>Raw_Data!A132</f>
        <v>TRK100130</v>
      </c>
      <c r="B132" s="5" t="str">
        <f>TRIM(Raw_Data!B132)</f>
        <v>BlueDart</v>
      </c>
      <c r="C132" s="5" t="str">
        <f>TRIM(Raw_Data!C132)</f>
        <v>Metro</v>
      </c>
      <c r="D132" s="6">
        <f>DATEVALUE(TEXT(Raw_Data!D132, "YYYY-MM-DD"))</f>
        <v>46051</v>
      </c>
      <c r="E132" s="6">
        <f>IF(ISBLANK(Raw_Data!E132), "", DATEVALUE(TEXT(Raw_Data!E132, "YYYY-MM-DD")))</f>
        <v>46053</v>
      </c>
      <c r="F132" s="5">
        <f t="shared" si="1"/>
        <v>2</v>
      </c>
      <c r="G132" s="5">
        <f t="shared" si="2"/>
        <v>2</v>
      </c>
      <c r="H132" s="5" t="str">
        <f t="shared" si="3"/>
        <v>ON TIME</v>
      </c>
      <c r="I132" s="5">
        <f>Raw_Data!F132</f>
        <v>11492</v>
      </c>
      <c r="J132" s="5">
        <f t="shared" si="4"/>
        <v>0</v>
      </c>
    </row>
    <row r="133">
      <c r="A133" s="5" t="str">
        <f>Raw_Data!A133</f>
        <v>TRK100131</v>
      </c>
      <c r="B133" s="5" t="str">
        <f>TRIM(Raw_Data!B133)</f>
        <v>EcomExpress</v>
      </c>
      <c r="C133" s="5" t="str">
        <f>TRIM(Raw_Data!C133)</f>
        <v>Tier 2</v>
      </c>
      <c r="D133" s="6">
        <f>DATEVALUE(TEXT(Raw_Data!D133, "YYYY-MM-DD"))</f>
        <v>46031</v>
      </c>
      <c r="E133" s="6">
        <f>IF(ISBLANK(Raw_Data!E133), "", DATEVALUE(TEXT(Raw_Data!E133, "YYYY-MM-DD")))</f>
        <v>46035</v>
      </c>
      <c r="F133" s="5">
        <f t="shared" si="1"/>
        <v>4</v>
      </c>
      <c r="G133" s="5">
        <f t="shared" si="2"/>
        <v>3</v>
      </c>
      <c r="H133" s="5" t="str">
        <f t="shared" si="3"/>
        <v>ON TIME</v>
      </c>
      <c r="I133" s="5">
        <f>Raw_Data!F133</f>
        <v>11245</v>
      </c>
      <c r="J133" s="5">
        <f t="shared" si="4"/>
        <v>0</v>
      </c>
    </row>
    <row r="134">
      <c r="A134" s="5" t="str">
        <f>Raw_Data!A134</f>
        <v>TRK100132</v>
      </c>
      <c r="B134" s="5" t="str">
        <f>TRIM(Raw_Data!B134)</f>
        <v>EcomExpress</v>
      </c>
      <c r="C134" s="5" t="str">
        <f>TRIM(Raw_Data!C134)</f>
        <v>Metro</v>
      </c>
      <c r="D134" s="6">
        <f>DATEVALUE(TEXT(Raw_Data!D134, "YYYY-MM-DD"))</f>
        <v>46038</v>
      </c>
      <c r="E134" s="6" t="str">
        <f>IF(ISBLANK(Raw_Data!E134), "", DATEVALUE(TEXT(Raw_Data!E134, "YYYY-MM-DD")))</f>
        <v/>
      </c>
      <c r="F134" s="5">
        <f t="shared" si="1"/>
        <v>2</v>
      </c>
      <c r="G134" s="5" t="str">
        <f t="shared" si="2"/>
        <v>In-Transit</v>
      </c>
      <c r="H134" s="5" t="str">
        <f t="shared" si="3"/>
        <v>Pending</v>
      </c>
      <c r="I134" s="5">
        <f>Raw_Data!F134</f>
        <v>6902</v>
      </c>
      <c r="J134" s="5">
        <f t="shared" si="4"/>
        <v>0</v>
      </c>
    </row>
    <row r="135">
      <c r="A135" s="5" t="str">
        <f>Raw_Data!A135</f>
        <v>TRK100133</v>
      </c>
      <c r="B135" s="5" t="str">
        <f>TRIM(Raw_Data!B135)</f>
        <v>BlueDart</v>
      </c>
      <c r="C135" s="5" t="str">
        <f>TRIM(Raw_Data!C135)</f>
        <v>Tier 3</v>
      </c>
      <c r="D135" s="6">
        <f>DATEVALUE(TEXT(Raw_Data!D135, "YYYY-MM-DD"))</f>
        <v>46064</v>
      </c>
      <c r="E135" s="6">
        <f>IF(ISBLANK(Raw_Data!E135), "", DATEVALUE(TEXT(Raw_Data!E135, "YYYY-MM-DD")))</f>
        <v>46070</v>
      </c>
      <c r="F135" s="5">
        <f t="shared" si="1"/>
        <v>6</v>
      </c>
      <c r="G135" s="5">
        <f t="shared" si="2"/>
        <v>5</v>
      </c>
      <c r="H135" s="5" t="str">
        <f t="shared" si="3"/>
        <v>ON TIME</v>
      </c>
      <c r="I135" s="5">
        <f>Raw_Data!F135</f>
        <v>4345</v>
      </c>
      <c r="J135" s="5">
        <f t="shared" si="4"/>
        <v>0</v>
      </c>
    </row>
    <row r="136">
      <c r="A136" s="5" t="str">
        <f>Raw_Data!A136</f>
        <v>TRK100134</v>
      </c>
      <c r="B136" s="5" t="str">
        <f>TRIM(Raw_Data!B136)</f>
        <v>EcomExpress</v>
      </c>
      <c r="C136" s="5" t="str">
        <f>TRIM(Raw_Data!C136)</f>
        <v>Metro</v>
      </c>
      <c r="D136" s="6">
        <f>DATEVALUE(TEXT(Raw_Data!D136, "YYYY-MM-DD"))</f>
        <v>46046</v>
      </c>
      <c r="E136" s="6">
        <f>IF(ISBLANK(Raw_Data!E136), "", DATEVALUE(TEXT(Raw_Data!E136, "YYYY-MM-DD")))</f>
        <v>46051</v>
      </c>
      <c r="F136" s="5">
        <f t="shared" si="1"/>
        <v>2</v>
      </c>
      <c r="G136" s="5">
        <f t="shared" si="2"/>
        <v>4</v>
      </c>
      <c r="H136" s="5" t="str">
        <f t="shared" si="3"/>
        <v>SLA BREACH</v>
      </c>
      <c r="I136" s="5">
        <f>Raw_Data!F136</f>
        <v>2296</v>
      </c>
      <c r="J136" s="5">
        <f t="shared" si="4"/>
        <v>114.8</v>
      </c>
    </row>
    <row r="137">
      <c r="A137" s="5" t="str">
        <f>Raw_Data!A137</f>
        <v>TRK100135</v>
      </c>
      <c r="B137" s="5" t="str">
        <f>TRIM(Raw_Data!B137)</f>
        <v>BlueDart</v>
      </c>
      <c r="C137" s="5" t="str">
        <f>TRIM(Raw_Data!C137)</f>
        <v>Tier 2</v>
      </c>
      <c r="D137" s="6">
        <f>DATEVALUE(TEXT(Raw_Data!D137, "YYYY-MM-DD"))</f>
        <v>46083</v>
      </c>
      <c r="E137" s="6">
        <f>IF(ISBLANK(Raw_Data!E137), "", DATEVALUE(TEXT(Raw_Data!E137, "YYYY-MM-DD")))</f>
        <v>46087</v>
      </c>
      <c r="F137" s="5">
        <f t="shared" si="1"/>
        <v>4</v>
      </c>
      <c r="G137" s="5">
        <f t="shared" si="2"/>
        <v>5</v>
      </c>
      <c r="H137" s="5" t="str">
        <f t="shared" si="3"/>
        <v>SLA BREACH</v>
      </c>
      <c r="I137" s="5">
        <f>Raw_Data!F137</f>
        <v>8745</v>
      </c>
      <c r="J137" s="5">
        <f t="shared" si="4"/>
        <v>437.25</v>
      </c>
    </row>
    <row r="138">
      <c r="A138" s="5" t="str">
        <f>Raw_Data!A138</f>
        <v>TRK100136</v>
      </c>
      <c r="B138" s="5" t="str">
        <f>TRIM(Raw_Data!B138)</f>
        <v>BlueDart</v>
      </c>
      <c r="C138" s="5" t="str">
        <f>TRIM(Raw_Data!C138)</f>
        <v>Tier 3</v>
      </c>
      <c r="D138" s="6">
        <f>DATEVALUE(TEXT(Raw_Data!D138, "YYYY-MM-DD"))</f>
        <v>46025</v>
      </c>
      <c r="E138" s="6">
        <f>IF(ISBLANK(Raw_Data!E138), "", DATEVALUE(TEXT(Raw_Data!E138, "YYYY-MM-DD")))</f>
        <v>46031</v>
      </c>
      <c r="F138" s="5">
        <f t="shared" si="1"/>
        <v>6</v>
      </c>
      <c r="G138" s="5">
        <f t="shared" si="2"/>
        <v>5</v>
      </c>
      <c r="H138" s="5" t="str">
        <f t="shared" si="3"/>
        <v>ON TIME</v>
      </c>
      <c r="I138" s="5">
        <f>Raw_Data!F138</f>
        <v>7714</v>
      </c>
      <c r="J138" s="5">
        <f t="shared" si="4"/>
        <v>0</v>
      </c>
    </row>
    <row r="139">
      <c r="A139" s="5" t="str">
        <f>Raw_Data!A139</f>
        <v>TRK100137</v>
      </c>
      <c r="B139" s="5" t="str">
        <f>TRIM(Raw_Data!B139)</f>
        <v>Delhivery</v>
      </c>
      <c r="C139" s="5" t="str">
        <f>TRIM(Raw_Data!C139)</f>
        <v>Tier 2</v>
      </c>
      <c r="D139" s="6">
        <f>DATEVALUE(TEXT(Raw_Data!D139, "YYYY-MM-DD"))</f>
        <v>46032</v>
      </c>
      <c r="E139" s="6">
        <f>IF(ISBLANK(Raw_Data!E139), "", DATEVALUE(TEXT(Raw_Data!E139, "YYYY-MM-DD")))</f>
        <v>46037</v>
      </c>
      <c r="F139" s="5">
        <f t="shared" si="1"/>
        <v>4</v>
      </c>
      <c r="G139" s="5">
        <f t="shared" si="2"/>
        <v>4</v>
      </c>
      <c r="H139" s="5" t="str">
        <f t="shared" si="3"/>
        <v>ON TIME</v>
      </c>
      <c r="I139" s="5">
        <f>Raw_Data!F139</f>
        <v>1226</v>
      </c>
      <c r="J139" s="5">
        <f t="shared" si="4"/>
        <v>0</v>
      </c>
    </row>
    <row r="140">
      <c r="A140" s="5" t="str">
        <f>Raw_Data!A140</f>
        <v>TRK100138</v>
      </c>
      <c r="B140" s="5" t="str">
        <f>TRIM(Raw_Data!B140)</f>
        <v>Delhivery</v>
      </c>
      <c r="C140" s="5" t="str">
        <f>TRIM(Raw_Data!C140)</f>
        <v>Tier 3</v>
      </c>
      <c r="D140" s="6">
        <f>DATEVALUE(TEXT(Raw_Data!D140, "YYYY-MM-DD"))</f>
        <v>46051</v>
      </c>
      <c r="E140" s="6">
        <f>IF(ISBLANK(Raw_Data!E140), "", DATEVALUE(TEXT(Raw_Data!E140, "YYYY-MM-DD")))</f>
        <v>46057</v>
      </c>
      <c r="F140" s="5">
        <f t="shared" si="1"/>
        <v>6</v>
      </c>
      <c r="G140" s="5">
        <f t="shared" si="2"/>
        <v>5</v>
      </c>
      <c r="H140" s="5" t="str">
        <f t="shared" si="3"/>
        <v>ON TIME</v>
      </c>
      <c r="I140" s="5">
        <f>Raw_Data!F140</f>
        <v>3236</v>
      </c>
      <c r="J140" s="5">
        <f t="shared" si="4"/>
        <v>0</v>
      </c>
    </row>
    <row r="141">
      <c r="A141" s="5" t="str">
        <f>Raw_Data!A141</f>
        <v>TRK100139</v>
      </c>
      <c r="B141" s="5" t="str">
        <f>TRIM(Raw_Data!B141)</f>
        <v>EcomExpress</v>
      </c>
      <c r="C141" s="5" t="str">
        <f>TRIM(Raw_Data!C141)</f>
        <v>Tier 3</v>
      </c>
      <c r="D141" s="6">
        <f>DATEVALUE(TEXT(Raw_Data!D141, "YYYY-MM-DD"))</f>
        <v>46046</v>
      </c>
      <c r="E141" s="6">
        <f>IF(ISBLANK(Raw_Data!E141), "", DATEVALUE(TEXT(Raw_Data!E141, "YYYY-MM-DD")))</f>
        <v>46057</v>
      </c>
      <c r="F141" s="5">
        <f t="shared" si="1"/>
        <v>6</v>
      </c>
      <c r="G141" s="5">
        <f t="shared" si="2"/>
        <v>8</v>
      </c>
      <c r="H141" s="5" t="str">
        <f t="shared" si="3"/>
        <v>SLA BREACH</v>
      </c>
      <c r="I141" s="5">
        <f>Raw_Data!F141</f>
        <v>11862</v>
      </c>
      <c r="J141" s="5">
        <f t="shared" si="4"/>
        <v>593.1</v>
      </c>
    </row>
    <row r="142">
      <c r="A142" s="5" t="str">
        <f>Raw_Data!A142</f>
        <v>TRK100140</v>
      </c>
      <c r="B142" s="5" t="str">
        <f>TRIM(Raw_Data!B142)</f>
        <v>BlueDart</v>
      </c>
      <c r="C142" s="5" t="str">
        <f>TRIM(Raw_Data!C142)</f>
        <v>Tier 2</v>
      </c>
      <c r="D142" s="6">
        <f>DATEVALUE(TEXT(Raw_Data!D142, "YYYY-MM-DD"))</f>
        <v>46071</v>
      </c>
      <c r="E142" s="6">
        <f>IF(ISBLANK(Raw_Data!E142), "", DATEVALUE(TEXT(Raw_Data!E142, "YYYY-MM-DD")))</f>
        <v>46078</v>
      </c>
      <c r="F142" s="5">
        <f t="shared" si="1"/>
        <v>4</v>
      </c>
      <c r="G142" s="5">
        <f t="shared" si="2"/>
        <v>6</v>
      </c>
      <c r="H142" s="5" t="str">
        <f t="shared" si="3"/>
        <v>SLA BREACH</v>
      </c>
      <c r="I142" s="5">
        <f>Raw_Data!F142</f>
        <v>2413</v>
      </c>
      <c r="J142" s="5">
        <f t="shared" si="4"/>
        <v>120.65</v>
      </c>
    </row>
    <row r="143">
      <c r="A143" s="5" t="str">
        <f>Raw_Data!A143</f>
        <v>TRK100141</v>
      </c>
      <c r="B143" s="5" t="str">
        <f>TRIM(Raw_Data!B143)</f>
        <v>Delhivery</v>
      </c>
      <c r="C143" s="5" t="str">
        <f>TRIM(Raw_Data!C143)</f>
        <v>Tier 2</v>
      </c>
      <c r="D143" s="6">
        <f>DATEVALUE(TEXT(Raw_Data!D143, "YYYY-MM-DD"))</f>
        <v>46059</v>
      </c>
      <c r="E143" s="6">
        <f>IF(ISBLANK(Raw_Data!E143), "", DATEVALUE(TEXT(Raw_Data!E143, "YYYY-MM-DD")))</f>
        <v>46063</v>
      </c>
      <c r="F143" s="5">
        <f t="shared" si="1"/>
        <v>4</v>
      </c>
      <c r="G143" s="5">
        <f t="shared" si="2"/>
        <v>3</v>
      </c>
      <c r="H143" s="5" t="str">
        <f t="shared" si="3"/>
        <v>ON TIME</v>
      </c>
      <c r="I143" s="5">
        <f>Raw_Data!F143</f>
        <v>10288</v>
      </c>
      <c r="J143" s="5">
        <f t="shared" si="4"/>
        <v>0</v>
      </c>
    </row>
    <row r="144">
      <c r="A144" s="5" t="str">
        <f>Raw_Data!A144</f>
        <v>TRK100142</v>
      </c>
      <c r="B144" s="5" t="str">
        <f>TRIM(Raw_Data!B144)</f>
        <v>Delhivery</v>
      </c>
      <c r="C144" s="5" t="str">
        <f>TRIM(Raw_Data!C144)</f>
        <v>Tier 2</v>
      </c>
      <c r="D144" s="6">
        <f>DATEVALUE(TEXT(Raw_Data!D144, "YYYY-MM-DD"))</f>
        <v>46056</v>
      </c>
      <c r="E144" s="6">
        <f>IF(ISBLANK(Raw_Data!E144), "", DATEVALUE(TEXT(Raw_Data!E144, "YYYY-MM-DD")))</f>
        <v>46060</v>
      </c>
      <c r="F144" s="5">
        <f t="shared" si="1"/>
        <v>4</v>
      </c>
      <c r="G144" s="5">
        <f t="shared" si="2"/>
        <v>4</v>
      </c>
      <c r="H144" s="5" t="str">
        <f t="shared" si="3"/>
        <v>ON TIME</v>
      </c>
      <c r="I144" s="5">
        <f>Raw_Data!F144</f>
        <v>10606</v>
      </c>
      <c r="J144" s="5">
        <f t="shared" si="4"/>
        <v>0</v>
      </c>
    </row>
    <row r="145">
      <c r="A145" s="5" t="str">
        <f>Raw_Data!A145</f>
        <v>TRK100143</v>
      </c>
      <c r="B145" s="5" t="str">
        <f>TRIM(Raw_Data!B145)</f>
        <v>Delhivery</v>
      </c>
      <c r="C145" s="5" t="str">
        <f>TRIM(Raw_Data!C145)</f>
        <v>Tier 2</v>
      </c>
      <c r="D145" s="6">
        <f>DATEVALUE(TEXT(Raw_Data!D145, "YYYY-MM-DD"))</f>
        <v>46048</v>
      </c>
      <c r="E145" s="6">
        <f>IF(ISBLANK(Raw_Data!E145), "", DATEVALUE(TEXT(Raw_Data!E145, "YYYY-MM-DD")))</f>
        <v>46052</v>
      </c>
      <c r="F145" s="5">
        <f t="shared" si="1"/>
        <v>4</v>
      </c>
      <c r="G145" s="5">
        <f t="shared" si="2"/>
        <v>5</v>
      </c>
      <c r="H145" s="5" t="str">
        <f t="shared" si="3"/>
        <v>SLA BREACH</v>
      </c>
      <c r="I145" s="5">
        <f>Raw_Data!F145</f>
        <v>8157</v>
      </c>
      <c r="J145" s="5">
        <f t="shared" si="4"/>
        <v>407.85</v>
      </c>
    </row>
    <row r="146">
      <c r="A146" s="5" t="str">
        <f>Raw_Data!A146</f>
        <v>TRK100144</v>
      </c>
      <c r="B146" s="5" t="str">
        <f>TRIM(Raw_Data!B146)</f>
        <v>Delhivery</v>
      </c>
      <c r="C146" s="5" t="str">
        <f>TRIM(Raw_Data!C146)</f>
        <v>Metro</v>
      </c>
      <c r="D146" s="6">
        <f>DATEVALUE(TEXT(Raw_Data!D146, "YYYY-MM-DD"))</f>
        <v>46064</v>
      </c>
      <c r="E146" s="6">
        <f>IF(ISBLANK(Raw_Data!E146), "", DATEVALUE(TEXT(Raw_Data!E146, "YYYY-MM-DD")))</f>
        <v>46066</v>
      </c>
      <c r="F146" s="5">
        <f t="shared" si="1"/>
        <v>2</v>
      </c>
      <c r="G146" s="5">
        <f t="shared" si="2"/>
        <v>3</v>
      </c>
      <c r="H146" s="5" t="str">
        <f t="shared" si="3"/>
        <v>SLA BREACH</v>
      </c>
      <c r="I146" s="5">
        <f>Raw_Data!F146</f>
        <v>2966</v>
      </c>
      <c r="J146" s="5">
        <f t="shared" si="4"/>
        <v>148.3</v>
      </c>
    </row>
    <row r="147">
      <c r="A147" s="5" t="str">
        <f>Raw_Data!A147</f>
        <v>TRK100145</v>
      </c>
      <c r="B147" s="5" t="str">
        <f>TRIM(Raw_Data!B147)</f>
        <v>EcomExpress</v>
      </c>
      <c r="C147" s="5" t="str">
        <f>TRIM(Raw_Data!C147)</f>
        <v>Tier 2</v>
      </c>
      <c r="D147" s="6">
        <f>DATEVALUE(TEXT(Raw_Data!D147, "YYYY-MM-DD"))</f>
        <v>46038</v>
      </c>
      <c r="E147" s="6">
        <f>IF(ISBLANK(Raw_Data!E147), "", DATEVALUE(TEXT(Raw_Data!E147, "YYYY-MM-DD")))</f>
        <v>46042</v>
      </c>
      <c r="F147" s="5">
        <f t="shared" si="1"/>
        <v>4</v>
      </c>
      <c r="G147" s="5">
        <f t="shared" si="2"/>
        <v>3</v>
      </c>
      <c r="H147" s="5" t="str">
        <f t="shared" si="3"/>
        <v>ON TIME</v>
      </c>
      <c r="I147" s="5">
        <f>Raw_Data!F147</f>
        <v>11429</v>
      </c>
      <c r="J147" s="5">
        <f t="shared" si="4"/>
        <v>0</v>
      </c>
    </row>
    <row r="148">
      <c r="A148" s="5" t="str">
        <f>Raw_Data!A148</f>
        <v>TRK100146</v>
      </c>
      <c r="B148" s="5" t="str">
        <f>TRIM(Raw_Data!B148)</f>
        <v>Delhivery</v>
      </c>
      <c r="C148" s="5" t="str">
        <f>TRIM(Raw_Data!C148)</f>
        <v>Tier 3</v>
      </c>
      <c r="D148" s="6">
        <f>DATEVALUE(TEXT(Raw_Data!D148, "YYYY-MM-DD"))</f>
        <v>46024</v>
      </c>
      <c r="E148" s="6">
        <f>IF(ISBLANK(Raw_Data!E148), "", DATEVALUE(TEXT(Raw_Data!E148, "YYYY-MM-DD")))</f>
        <v>46030</v>
      </c>
      <c r="F148" s="5">
        <f t="shared" si="1"/>
        <v>6</v>
      </c>
      <c r="G148" s="5">
        <f t="shared" si="2"/>
        <v>5</v>
      </c>
      <c r="H148" s="5" t="str">
        <f t="shared" si="3"/>
        <v>ON TIME</v>
      </c>
      <c r="I148" s="5">
        <f>Raw_Data!F148</f>
        <v>9541</v>
      </c>
      <c r="J148" s="5">
        <f t="shared" si="4"/>
        <v>0</v>
      </c>
    </row>
    <row r="149">
      <c r="A149" s="5" t="str">
        <f>Raw_Data!A149</f>
        <v>TRK100147</v>
      </c>
      <c r="B149" s="5" t="str">
        <f>TRIM(Raw_Data!B149)</f>
        <v>EcomExpress</v>
      </c>
      <c r="C149" s="5" t="str">
        <f>TRIM(Raw_Data!C149)</f>
        <v>Metro</v>
      </c>
      <c r="D149" s="6">
        <f>DATEVALUE(TEXT(Raw_Data!D149, "YYYY-MM-DD"))</f>
        <v>46034</v>
      </c>
      <c r="E149" s="6">
        <f>IF(ISBLANK(Raw_Data!E149), "", DATEVALUE(TEXT(Raw_Data!E149, "YYYY-MM-DD")))</f>
        <v>46036</v>
      </c>
      <c r="F149" s="5">
        <f t="shared" si="1"/>
        <v>2</v>
      </c>
      <c r="G149" s="5">
        <f t="shared" si="2"/>
        <v>3</v>
      </c>
      <c r="H149" s="5" t="str">
        <f t="shared" si="3"/>
        <v>SLA BREACH</v>
      </c>
      <c r="I149" s="5">
        <f>Raw_Data!F149</f>
        <v>10801</v>
      </c>
      <c r="J149" s="5">
        <f t="shared" si="4"/>
        <v>540.05</v>
      </c>
    </row>
    <row r="150">
      <c r="A150" s="5" t="str">
        <f>Raw_Data!A150</f>
        <v>TRK100148</v>
      </c>
      <c r="B150" s="5" t="str">
        <f>TRIM(Raw_Data!B150)</f>
        <v>BlueDart</v>
      </c>
      <c r="C150" s="5" t="str">
        <f>TRIM(Raw_Data!C150)</f>
        <v>Tier 2</v>
      </c>
      <c r="D150" s="6">
        <f>DATEVALUE(TEXT(Raw_Data!D150, "YYYY-MM-DD"))</f>
        <v>46056</v>
      </c>
      <c r="E150" s="6">
        <f>IF(ISBLANK(Raw_Data!E150), "", DATEVALUE(TEXT(Raw_Data!E150, "YYYY-MM-DD")))</f>
        <v>46060</v>
      </c>
      <c r="F150" s="5">
        <f t="shared" si="1"/>
        <v>4</v>
      </c>
      <c r="G150" s="5">
        <f t="shared" si="2"/>
        <v>4</v>
      </c>
      <c r="H150" s="5" t="str">
        <f t="shared" si="3"/>
        <v>ON TIME</v>
      </c>
      <c r="I150" s="5">
        <f>Raw_Data!F150</f>
        <v>7812</v>
      </c>
      <c r="J150" s="5">
        <f t="shared" si="4"/>
        <v>0</v>
      </c>
    </row>
    <row r="151">
      <c r="A151" s="5" t="str">
        <f>Raw_Data!A151</f>
        <v>TRK100149</v>
      </c>
      <c r="B151" s="5" t="str">
        <f>TRIM(Raw_Data!B151)</f>
        <v>EcomExpress</v>
      </c>
      <c r="C151" s="5" t="str">
        <f>TRIM(Raw_Data!C151)</f>
        <v>Metro</v>
      </c>
      <c r="D151" s="6">
        <f>DATEVALUE(TEXT(Raw_Data!D151, "YYYY-MM-DD"))</f>
        <v>46081</v>
      </c>
      <c r="E151" s="6">
        <f>IF(ISBLANK(Raw_Data!E151), "", DATEVALUE(TEXT(Raw_Data!E151, "YYYY-MM-DD")))</f>
        <v>46083</v>
      </c>
      <c r="F151" s="5">
        <f t="shared" si="1"/>
        <v>2</v>
      </c>
      <c r="G151" s="5">
        <f t="shared" si="2"/>
        <v>1</v>
      </c>
      <c r="H151" s="5" t="str">
        <f t="shared" si="3"/>
        <v>ON TIME</v>
      </c>
      <c r="I151" s="5">
        <f>Raw_Data!F151</f>
        <v>8694</v>
      </c>
      <c r="J151" s="5">
        <f t="shared" si="4"/>
        <v>0</v>
      </c>
    </row>
    <row r="152">
      <c r="A152" s="5" t="str">
        <f>Raw_Data!A152</f>
        <v>TRK100150</v>
      </c>
      <c r="B152" s="5" t="str">
        <f>TRIM(Raw_Data!B152)</f>
        <v>Delhivery</v>
      </c>
      <c r="C152" s="5" t="str">
        <f>TRIM(Raw_Data!C152)</f>
        <v>Tier 3</v>
      </c>
      <c r="D152" s="6">
        <f>DATEVALUE(TEXT(Raw_Data!D152, "YYYY-MM-DD"))</f>
        <v>46030</v>
      </c>
      <c r="E152" s="6">
        <f>IF(ISBLANK(Raw_Data!E152), "", DATEVALUE(TEXT(Raw_Data!E152, "YYYY-MM-DD")))</f>
        <v>46038</v>
      </c>
      <c r="F152" s="5">
        <f t="shared" si="1"/>
        <v>6</v>
      </c>
      <c r="G152" s="5">
        <f t="shared" si="2"/>
        <v>7</v>
      </c>
      <c r="H152" s="5" t="str">
        <f t="shared" si="3"/>
        <v>SLA BREACH</v>
      </c>
      <c r="I152" s="5">
        <f>Raw_Data!F152</f>
        <v>8406</v>
      </c>
      <c r="J152" s="5">
        <f t="shared" si="4"/>
        <v>420.3</v>
      </c>
    </row>
    <row r="153">
      <c r="A153" s="5" t="str">
        <f>Raw_Data!A153</f>
        <v>TRK100151</v>
      </c>
      <c r="B153" s="5" t="str">
        <f>TRIM(Raw_Data!B153)</f>
        <v>BlueDart</v>
      </c>
      <c r="C153" s="5" t="str">
        <f>TRIM(Raw_Data!C153)</f>
        <v>Tier 3</v>
      </c>
      <c r="D153" s="6">
        <f>DATEVALUE(TEXT(Raw_Data!D153, "YYYY-MM-DD"))</f>
        <v>46072</v>
      </c>
      <c r="E153" s="6">
        <f>IF(ISBLANK(Raw_Data!E153), "", DATEVALUE(TEXT(Raw_Data!E153, "YYYY-MM-DD")))</f>
        <v>46078</v>
      </c>
      <c r="F153" s="5">
        <f t="shared" si="1"/>
        <v>6</v>
      </c>
      <c r="G153" s="5">
        <f t="shared" si="2"/>
        <v>5</v>
      </c>
      <c r="H153" s="5" t="str">
        <f t="shared" si="3"/>
        <v>ON TIME</v>
      </c>
      <c r="I153" s="5">
        <f>Raw_Data!F153</f>
        <v>5376</v>
      </c>
      <c r="J153" s="5">
        <f t="shared" si="4"/>
        <v>0</v>
      </c>
    </row>
    <row r="154">
      <c r="A154" s="5" t="str">
        <f>Raw_Data!A154</f>
        <v>TRK100152</v>
      </c>
      <c r="B154" s="5" t="str">
        <f>TRIM(Raw_Data!B154)</f>
        <v>BlueDart</v>
      </c>
      <c r="C154" s="5" t="str">
        <f>TRIM(Raw_Data!C154)</f>
        <v>Tier 3</v>
      </c>
      <c r="D154" s="6">
        <f>DATEVALUE(TEXT(Raw_Data!D154, "YYYY-MM-DD"))</f>
        <v>46068</v>
      </c>
      <c r="E154" s="6">
        <f>IF(ISBLANK(Raw_Data!E154), "", DATEVALUE(TEXT(Raw_Data!E154, "YYYY-MM-DD")))</f>
        <v>46074</v>
      </c>
      <c r="F154" s="5">
        <f t="shared" si="1"/>
        <v>6</v>
      </c>
      <c r="G154" s="5">
        <f t="shared" si="2"/>
        <v>5</v>
      </c>
      <c r="H154" s="5" t="str">
        <f t="shared" si="3"/>
        <v>ON TIME</v>
      </c>
      <c r="I154" s="5">
        <f>Raw_Data!F154</f>
        <v>7787</v>
      </c>
      <c r="J154" s="5">
        <f t="shared" si="4"/>
        <v>0</v>
      </c>
    </row>
    <row r="155">
      <c r="A155" s="5" t="str">
        <f>Raw_Data!A155</f>
        <v>TRK100153</v>
      </c>
      <c r="B155" s="5" t="str">
        <f>TRIM(Raw_Data!B155)</f>
        <v>EcomExpress</v>
      </c>
      <c r="C155" s="5" t="str">
        <f>TRIM(Raw_Data!C155)</f>
        <v>Metro</v>
      </c>
      <c r="D155" s="6">
        <f>DATEVALUE(TEXT(Raw_Data!D155, "YYYY-MM-DD"))</f>
        <v>46036</v>
      </c>
      <c r="E155" s="6">
        <f>IF(ISBLANK(Raw_Data!E155), "", DATEVALUE(TEXT(Raw_Data!E155, "YYYY-MM-DD")))</f>
        <v>46038</v>
      </c>
      <c r="F155" s="5">
        <f t="shared" si="1"/>
        <v>2</v>
      </c>
      <c r="G155" s="5">
        <f t="shared" si="2"/>
        <v>3</v>
      </c>
      <c r="H155" s="5" t="str">
        <f t="shared" si="3"/>
        <v>SLA BREACH</v>
      </c>
      <c r="I155" s="5">
        <f>Raw_Data!F155</f>
        <v>1392</v>
      </c>
      <c r="J155" s="5">
        <f t="shared" si="4"/>
        <v>69.6</v>
      </c>
    </row>
    <row r="156">
      <c r="A156" s="5" t="str">
        <f>Raw_Data!A156</f>
        <v>TRK100154</v>
      </c>
      <c r="B156" s="5" t="str">
        <f>TRIM(Raw_Data!B156)</f>
        <v>BlueDart</v>
      </c>
      <c r="C156" s="5" t="str">
        <f>TRIM(Raw_Data!C156)</f>
        <v>Metro</v>
      </c>
      <c r="D156" s="6">
        <f>DATEVALUE(TEXT(Raw_Data!D156, "YYYY-MM-DD"))</f>
        <v>46041</v>
      </c>
      <c r="E156" s="6">
        <f>IF(ISBLANK(Raw_Data!E156), "", DATEVALUE(TEXT(Raw_Data!E156, "YYYY-MM-DD")))</f>
        <v>46048</v>
      </c>
      <c r="F156" s="5">
        <f t="shared" si="1"/>
        <v>2</v>
      </c>
      <c r="G156" s="5">
        <f t="shared" si="2"/>
        <v>6</v>
      </c>
      <c r="H156" s="5" t="str">
        <f t="shared" si="3"/>
        <v>SLA BREACH</v>
      </c>
      <c r="I156" s="5">
        <f>Raw_Data!F156</f>
        <v>10722</v>
      </c>
      <c r="J156" s="5">
        <f t="shared" si="4"/>
        <v>536.1</v>
      </c>
    </row>
    <row r="157">
      <c r="A157" s="5" t="str">
        <f>Raw_Data!A157</f>
        <v>TRK100155</v>
      </c>
      <c r="B157" s="5" t="str">
        <f>TRIM(Raw_Data!B157)</f>
        <v>EcomExpress</v>
      </c>
      <c r="C157" s="5" t="str">
        <f>TRIM(Raw_Data!C157)</f>
        <v>Tier 2</v>
      </c>
      <c r="D157" s="6">
        <f>DATEVALUE(TEXT(Raw_Data!D157, "YYYY-MM-DD"))</f>
        <v>46081</v>
      </c>
      <c r="E157" s="6">
        <f>IF(ISBLANK(Raw_Data!E157), "", DATEVALUE(TEXT(Raw_Data!E157, "YYYY-MM-DD")))</f>
        <v>46085</v>
      </c>
      <c r="F157" s="5">
        <f t="shared" si="1"/>
        <v>4</v>
      </c>
      <c r="G157" s="5">
        <f t="shared" si="2"/>
        <v>3</v>
      </c>
      <c r="H157" s="5" t="str">
        <f t="shared" si="3"/>
        <v>ON TIME</v>
      </c>
      <c r="I157" s="5">
        <f>Raw_Data!F157</f>
        <v>11852</v>
      </c>
      <c r="J157" s="5">
        <f t="shared" si="4"/>
        <v>0</v>
      </c>
    </row>
    <row r="158">
      <c r="A158" s="5" t="str">
        <f>Raw_Data!A158</f>
        <v>TRK100156</v>
      </c>
      <c r="B158" s="5" t="str">
        <f>TRIM(Raw_Data!B158)</f>
        <v>BlueDart</v>
      </c>
      <c r="C158" s="5" t="str">
        <f>TRIM(Raw_Data!C158)</f>
        <v>Tier 2</v>
      </c>
      <c r="D158" s="6">
        <f>DATEVALUE(TEXT(Raw_Data!D158, "YYYY-MM-DD"))</f>
        <v>46035</v>
      </c>
      <c r="E158" s="6">
        <f>IF(ISBLANK(Raw_Data!E158), "", DATEVALUE(TEXT(Raw_Data!E158, "YYYY-MM-DD")))</f>
        <v>46039</v>
      </c>
      <c r="F158" s="5">
        <f t="shared" si="1"/>
        <v>4</v>
      </c>
      <c r="G158" s="5">
        <f t="shared" si="2"/>
        <v>4</v>
      </c>
      <c r="H158" s="5" t="str">
        <f t="shared" si="3"/>
        <v>ON TIME</v>
      </c>
      <c r="I158" s="5">
        <f>Raw_Data!F158</f>
        <v>11068</v>
      </c>
      <c r="J158" s="5">
        <f t="shared" si="4"/>
        <v>0</v>
      </c>
    </row>
    <row r="159">
      <c r="A159" s="5" t="str">
        <f>Raw_Data!A159</f>
        <v>TRK100157</v>
      </c>
      <c r="B159" s="5" t="str">
        <f>TRIM(Raw_Data!B159)</f>
        <v>EcomExpress</v>
      </c>
      <c r="C159" s="5" t="str">
        <f>TRIM(Raw_Data!C159)</f>
        <v>Tier 2</v>
      </c>
      <c r="D159" s="6">
        <f>DATEVALUE(TEXT(Raw_Data!D159, "YYYY-MM-DD"))</f>
        <v>46031</v>
      </c>
      <c r="E159" s="6" t="str">
        <f>IF(ISBLANK(Raw_Data!E159), "", DATEVALUE(TEXT(Raw_Data!E159, "YYYY-MM-DD")))</f>
        <v/>
      </c>
      <c r="F159" s="5">
        <f t="shared" si="1"/>
        <v>4</v>
      </c>
      <c r="G159" s="5" t="str">
        <f t="shared" si="2"/>
        <v>In-Transit</v>
      </c>
      <c r="H159" s="5" t="str">
        <f t="shared" si="3"/>
        <v>Pending</v>
      </c>
      <c r="I159" s="5">
        <f>Raw_Data!F159</f>
        <v>5175</v>
      </c>
      <c r="J159" s="5">
        <f t="shared" si="4"/>
        <v>0</v>
      </c>
    </row>
    <row r="160">
      <c r="A160" s="5" t="str">
        <f>Raw_Data!A160</f>
        <v>TRK100158</v>
      </c>
      <c r="B160" s="5" t="str">
        <f>TRIM(Raw_Data!B160)</f>
        <v>Delhivery</v>
      </c>
      <c r="C160" s="5" t="str">
        <f>TRIM(Raw_Data!C160)</f>
        <v>Tier 3</v>
      </c>
      <c r="D160" s="6">
        <f>DATEVALUE(TEXT(Raw_Data!D160, "YYYY-MM-DD"))</f>
        <v>46051</v>
      </c>
      <c r="E160" s="6">
        <f>IF(ISBLANK(Raw_Data!E160), "", DATEVALUE(TEXT(Raw_Data!E160, "YYYY-MM-DD")))</f>
        <v>46057</v>
      </c>
      <c r="F160" s="5">
        <f t="shared" si="1"/>
        <v>6</v>
      </c>
      <c r="G160" s="5">
        <f t="shared" si="2"/>
        <v>5</v>
      </c>
      <c r="H160" s="5" t="str">
        <f t="shared" si="3"/>
        <v>ON TIME</v>
      </c>
      <c r="I160" s="5">
        <f>Raw_Data!F160</f>
        <v>2433</v>
      </c>
      <c r="J160" s="5">
        <f t="shared" si="4"/>
        <v>0</v>
      </c>
    </row>
    <row r="161">
      <c r="A161" s="5" t="str">
        <f>Raw_Data!A161</f>
        <v>TRK100159</v>
      </c>
      <c r="B161" s="5" t="str">
        <f>TRIM(Raw_Data!B161)</f>
        <v>EcomExpress</v>
      </c>
      <c r="C161" s="5" t="str">
        <f>TRIM(Raw_Data!C161)</f>
        <v>Tier 2</v>
      </c>
      <c r="D161" s="6">
        <f>DATEVALUE(TEXT(Raw_Data!D161, "YYYY-MM-DD"))</f>
        <v>46080</v>
      </c>
      <c r="E161" s="6">
        <f>IF(ISBLANK(Raw_Data!E161), "", DATEVALUE(TEXT(Raw_Data!E161, "YYYY-MM-DD")))</f>
        <v>46085</v>
      </c>
      <c r="F161" s="5">
        <f t="shared" si="1"/>
        <v>4</v>
      </c>
      <c r="G161" s="5">
        <f t="shared" si="2"/>
        <v>4</v>
      </c>
      <c r="H161" s="5" t="str">
        <f t="shared" si="3"/>
        <v>ON TIME</v>
      </c>
      <c r="I161" s="5">
        <f>Raw_Data!F161</f>
        <v>1880</v>
      </c>
      <c r="J161" s="5">
        <f t="shared" si="4"/>
        <v>0</v>
      </c>
    </row>
    <row r="162">
      <c r="A162" s="5" t="str">
        <f>Raw_Data!A162</f>
        <v>TRK100160</v>
      </c>
      <c r="B162" s="5" t="str">
        <f>TRIM(Raw_Data!B162)</f>
        <v>EcomExpress</v>
      </c>
      <c r="C162" s="5" t="str">
        <f>TRIM(Raw_Data!C162)</f>
        <v>Metro</v>
      </c>
      <c r="D162" s="6">
        <f>DATEVALUE(TEXT(Raw_Data!D162, "YYYY-MM-DD"))</f>
        <v>46051</v>
      </c>
      <c r="E162" s="6">
        <f>IF(ISBLANK(Raw_Data!E162), "", DATEVALUE(TEXT(Raw_Data!E162, "YYYY-MM-DD")))</f>
        <v>46053</v>
      </c>
      <c r="F162" s="5">
        <f t="shared" si="1"/>
        <v>2</v>
      </c>
      <c r="G162" s="5">
        <f t="shared" si="2"/>
        <v>2</v>
      </c>
      <c r="H162" s="5" t="str">
        <f t="shared" si="3"/>
        <v>ON TIME</v>
      </c>
      <c r="I162" s="5">
        <f>Raw_Data!F162</f>
        <v>1790</v>
      </c>
      <c r="J162" s="5">
        <f t="shared" si="4"/>
        <v>0</v>
      </c>
    </row>
    <row r="163">
      <c r="A163" s="5" t="str">
        <f>Raw_Data!A163</f>
        <v>TRK100161</v>
      </c>
      <c r="B163" s="5" t="str">
        <f>TRIM(Raw_Data!B163)</f>
        <v>Delhivery</v>
      </c>
      <c r="C163" s="5" t="str">
        <f>TRIM(Raw_Data!C163)</f>
        <v>Tier 2</v>
      </c>
      <c r="D163" s="6">
        <f>DATEVALUE(TEXT(Raw_Data!D163, "YYYY-MM-DD"))</f>
        <v>46074</v>
      </c>
      <c r="E163" s="6">
        <f>IF(ISBLANK(Raw_Data!E163), "", DATEVALUE(TEXT(Raw_Data!E163, "YYYY-MM-DD")))</f>
        <v>46078</v>
      </c>
      <c r="F163" s="5">
        <f t="shared" si="1"/>
        <v>4</v>
      </c>
      <c r="G163" s="5">
        <f t="shared" si="2"/>
        <v>3</v>
      </c>
      <c r="H163" s="5" t="str">
        <f t="shared" si="3"/>
        <v>ON TIME</v>
      </c>
      <c r="I163" s="5">
        <f>Raw_Data!F163</f>
        <v>2140</v>
      </c>
      <c r="J163" s="5">
        <f t="shared" si="4"/>
        <v>0</v>
      </c>
    </row>
    <row r="164">
      <c r="A164" s="5" t="str">
        <f>Raw_Data!A164</f>
        <v>TRK100162</v>
      </c>
      <c r="B164" s="5" t="str">
        <f>TRIM(Raw_Data!B164)</f>
        <v>EcomExpress</v>
      </c>
      <c r="C164" s="5" t="str">
        <f>TRIM(Raw_Data!C164)</f>
        <v>Tier 3</v>
      </c>
      <c r="D164" s="6">
        <f>DATEVALUE(TEXT(Raw_Data!D164, "YYYY-MM-DD"))</f>
        <v>46077</v>
      </c>
      <c r="E164" s="6">
        <f>IF(ISBLANK(Raw_Data!E164), "", DATEVALUE(TEXT(Raw_Data!E164, "YYYY-MM-DD")))</f>
        <v>46083</v>
      </c>
      <c r="F164" s="5">
        <f t="shared" si="1"/>
        <v>6</v>
      </c>
      <c r="G164" s="5">
        <f t="shared" si="2"/>
        <v>5</v>
      </c>
      <c r="H164" s="5" t="str">
        <f t="shared" si="3"/>
        <v>ON TIME</v>
      </c>
      <c r="I164" s="5">
        <f>Raw_Data!F164</f>
        <v>7990</v>
      </c>
      <c r="J164" s="5">
        <f t="shared" si="4"/>
        <v>0</v>
      </c>
    </row>
    <row r="165">
      <c r="A165" s="5" t="str">
        <f>Raw_Data!A165</f>
        <v>TRK100163</v>
      </c>
      <c r="B165" s="5" t="str">
        <f>TRIM(Raw_Data!B165)</f>
        <v>EcomExpress</v>
      </c>
      <c r="C165" s="5" t="str">
        <f>TRIM(Raw_Data!C165)</f>
        <v>Tier 2</v>
      </c>
      <c r="D165" s="6">
        <f>DATEVALUE(TEXT(Raw_Data!D165, "YYYY-MM-DD"))</f>
        <v>46065</v>
      </c>
      <c r="E165" s="6">
        <f>IF(ISBLANK(Raw_Data!E165), "", DATEVALUE(TEXT(Raw_Data!E165, "YYYY-MM-DD")))</f>
        <v>46069</v>
      </c>
      <c r="F165" s="5">
        <f t="shared" si="1"/>
        <v>4</v>
      </c>
      <c r="G165" s="5">
        <f t="shared" si="2"/>
        <v>3</v>
      </c>
      <c r="H165" s="5" t="str">
        <f t="shared" si="3"/>
        <v>ON TIME</v>
      </c>
      <c r="I165" s="5">
        <f>Raw_Data!F165</f>
        <v>11374</v>
      </c>
      <c r="J165" s="5">
        <f t="shared" si="4"/>
        <v>0</v>
      </c>
    </row>
    <row r="166">
      <c r="A166" s="5" t="str">
        <f>Raw_Data!A166</f>
        <v>TRK100164</v>
      </c>
      <c r="B166" s="5" t="str">
        <f>TRIM(Raw_Data!B166)</f>
        <v>BlueDart</v>
      </c>
      <c r="C166" s="5" t="str">
        <f>TRIM(Raw_Data!C166)</f>
        <v>Tier 3</v>
      </c>
      <c r="D166" s="6">
        <f>DATEVALUE(TEXT(Raw_Data!D166, "YYYY-MM-DD"))</f>
        <v>46068</v>
      </c>
      <c r="E166" s="6">
        <f>IF(ISBLANK(Raw_Data!E166), "", DATEVALUE(TEXT(Raw_Data!E166, "YYYY-MM-DD")))</f>
        <v>46074</v>
      </c>
      <c r="F166" s="5">
        <f t="shared" si="1"/>
        <v>6</v>
      </c>
      <c r="G166" s="5">
        <f t="shared" si="2"/>
        <v>5</v>
      </c>
      <c r="H166" s="5" t="str">
        <f t="shared" si="3"/>
        <v>ON TIME</v>
      </c>
      <c r="I166" s="5">
        <f>Raw_Data!F166</f>
        <v>9679</v>
      </c>
      <c r="J166" s="5">
        <f t="shared" si="4"/>
        <v>0</v>
      </c>
    </row>
    <row r="167">
      <c r="A167" s="5" t="str">
        <f>Raw_Data!A167</f>
        <v>TRK100165</v>
      </c>
      <c r="B167" s="5" t="str">
        <f>TRIM(Raw_Data!B167)</f>
        <v>EcomExpress</v>
      </c>
      <c r="C167" s="5" t="str">
        <f>TRIM(Raw_Data!C167)</f>
        <v>Tier 3</v>
      </c>
      <c r="D167" s="6">
        <f>DATEVALUE(TEXT(Raw_Data!D167, "YYYY-MM-DD"))</f>
        <v>46058</v>
      </c>
      <c r="E167" s="6">
        <f>IF(ISBLANK(Raw_Data!E167), "", DATEVALUE(TEXT(Raw_Data!E167, "YYYY-MM-DD")))</f>
        <v>46066</v>
      </c>
      <c r="F167" s="5">
        <f t="shared" si="1"/>
        <v>6</v>
      </c>
      <c r="G167" s="5">
        <f t="shared" si="2"/>
        <v>7</v>
      </c>
      <c r="H167" s="5" t="str">
        <f t="shared" si="3"/>
        <v>SLA BREACH</v>
      </c>
      <c r="I167" s="5">
        <f>Raw_Data!F167</f>
        <v>1718</v>
      </c>
      <c r="J167" s="5">
        <f t="shared" si="4"/>
        <v>85.9</v>
      </c>
    </row>
    <row r="168">
      <c r="A168" s="5" t="str">
        <f>Raw_Data!A168</f>
        <v>TRK100166</v>
      </c>
      <c r="B168" s="5" t="str">
        <f>TRIM(Raw_Data!B168)</f>
        <v>BlueDart</v>
      </c>
      <c r="C168" s="5" t="str">
        <f>TRIM(Raw_Data!C168)</f>
        <v>Tier 3</v>
      </c>
      <c r="D168" s="6">
        <f>DATEVALUE(TEXT(Raw_Data!D168, "YYYY-MM-DD"))</f>
        <v>46041</v>
      </c>
      <c r="E168" s="6">
        <f>IF(ISBLANK(Raw_Data!E168), "", DATEVALUE(TEXT(Raw_Data!E168, "YYYY-MM-DD")))</f>
        <v>46047</v>
      </c>
      <c r="F168" s="5">
        <f t="shared" si="1"/>
        <v>6</v>
      </c>
      <c r="G168" s="5">
        <f t="shared" si="2"/>
        <v>5</v>
      </c>
      <c r="H168" s="5" t="str">
        <f t="shared" si="3"/>
        <v>ON TIME</v>
      </c>
      <c r="I168" s="5">
        <f>Raw_Data!F168</f>
        <v>5516</v>
      </c>
      <c r="J168" s="5">
        <f t="shared" si="4"/>
        <v>0</v>
      </c>
    </row>
    <row r="169">
      <c r="A169" s="5" t="str">
        <f>Raw_Data!A169</f>
        <v>TRK100167</v>
      </c>
      <c r="B169" s="5" t="str">
        <f>TRIM(Raw_Data!B169)</f>
        <v>Delhivery</v>
      </c>
      <c r="C169" s="5" t="str">
        <f>TRIM(Raw_Data!C169)</f>
        <v>Tier 2</v>
      </c>
      <c r="D169" s="6">
        <f>DATEVALUE(TEXT(Raw_Data!D169, "YYYY-MM-DD"))</f>
        <v>46077</v>
      </c>
      <c r="E169" s="6">
        <f>IF(ISBLANK(Raw_Data!E169), "", DATEVALUE(TEXT(Raw_Data!E169, "YYYY-MM-DD")))</f>
        <v>46081</v>
      </c>
      <c r="F169" s="5">
        <f t="shared" si="1"/>
        <v>4</v>
      </c>
      <c r="G169" s="5">
        <f t="shared" si="2"/>
        <v>4</v>
      </c>
      <c r="H169" s="5" t="str">
        <f t="shared" si="3"/>
        <v>ON TIME</v>
      </c>
      <c r="I169" s="5">
        <f>Raw_Data!F169</f>
        <v>7381</v>
      </c>
      <c r="J169" s="5">
        <f t="shared" si="4"/>
        <v>0</v>
      </c>
    </row>
    <row r="170">
      <c r="A170" s="5" t="str">
        <f>Raw_Data!A170</f>
        <v>TRK100168</v>
      </c>
      <c r="B170" s="5" t="str">
        <f>TRIM(Raw_Data!B170)</f>
        <v>BlueDart</v>
      </c>
      <c r="C170" s="5" t="str">
        <f>TRIM(Raw_Data!C170)</f>
        <v>Metro</v>
      </c>
      <c r="D170" s="6">
        <f>DATEVALUE(TEXT(Raw_Data!D170, "YYYY-MM-DD"))</f>
        <v>46068</v>
      </c>
      <c r="E170" s="6">
        <f>IF(ISBLANK(Raw_Data!E170), "", DATEVALUE(TEXT(Raw_Data!E170, "YYYY-MM-DD")))</f>
        <v>46070</v>
      </c>
      <c r="F170" s="5">
        <f t="shared" si="1"/>
        <v>2</v>
      </c>
      <c r="G170" s="5">
        <f t="shared" si="2"/>
        <v>2</v>
      </c>
      <c r="H170" s="5" t="str">
        <f t="shared" si="3"/>
        <v>ON TIME</v>
      </c>
      <c r="I170" s="5">
        <f>Raw_Data!F170</f>
        <v>10047</v>
      </c>
      <c r="J170" s="5">
        <f t="shared" si="4"/>
        <v>0</v>
      </c>
    </row>
    <row r="171">
      <c r="A171" s="5" t="str">
        <f>Raw_Data!A171</f>
        <v>TRK100169</v>
      </c>
      <c r="B171" s="5" t="str">
        <f>TRIM(Raw_Data!B171)</f>
        <v>BlueDart</v>
      </c>
      <c r="C171" s="5" t="str">
        <f>TRIM(Raw_Data!C171)</f>
        <v>Tier 2</v>
      </c>
      <c r="D171" s="6">
        <f>DATEVALUE(TEXT(Raw_Data!D171, "YYYY-MM-DD"))</f>
        <v>46082</v>
      </c>
      <c r="E171" s="6">
        <f>IF(ISBLANK(Raw_Data!E171), "", DATEVALUE(TEXT(Raw_Data!E171, "YYYY-MM-DD")))</f>
        <v>46086</v>
      </c>
      <c r="F171" s="5">
        <f t="shared" si="1"/>
        <v>4</v>
      </c>
      <c r="G171" s="5">
        <f t="shared" si="2"/>
        <v>4</v>
      </c>
      <c r="H171" s="5" t="str">
        <f t="shared" si="3"/>
        <v>ON TIME</v>
      </c>
      <c r="I171" s="5">
        <f>Raw_Data!F171</f>
        <v>10252</v>
      </c>
      <c r="J171" s="5">
        <f t="shared" si="4"/>
        <v>0</v>
      </c>
    </row>
    <row r="172">
      <c r="A172" s="5" t="str">
        <f>Raw_Data!A172</f>
        <v>TRK100170</v>
      </c>
      <c r="B172" s="5" t="str">
        <f>TRIM(Raw_Data!B172)</f>
        <v>Delhivery</v>
      </c>
      <c r="C172" s="5" t="str">
        <f>TRIM(Raw_Data!C172)</f>
        <v>Tier 3</v>
      </c>
      <c r="D172" s="6">
        <f>DATEVALUE(TEXT(Raw_Data!D172, "YYYY-MM-DD"))</f>
        <v>46063</v>
      </c>
      <c r="E172" s="6">
        <f>IF(ISBLANK(Raw_Data!E172), "", DATEVALUE(TEXT(Raw_Data!E172, "YYYY-MM-DD")))</f>
        <v>46069</v>
      </c>
      <c r="F172" s="5">
        <f t="shared" si="1"/>
        <v>6</v>
      </c>
      <c r="G172" s="5">
        <f t="shared" si="2"/>
        <v>5</v>
      </c>
      <c r="H172" s="5" t="str">
        <f t="shared" si="3"/>
        <v>ON TIME</v>
      </c>
      <c r="I172" s="5">
        <f>Raw_Data!F172</f>
        <v>10110</v>
      </c>
      <c r="J172" s="5">
        <f t="shared" si="4"/>
        <v>0</v>
      </c>
    </row>
    <row r="173">
      <c r="A173" s="5" t="str">
        <f>Raw_Data!A173</f>
        <v>TRK100171</v>
      </c>
      <c r="B173" s="5" t="str">
        <f>TRIM(Raw_Data!B173)</f>
        <v>BlueDart</v>
      </c>
      <c r="C173" s="5" t="str">
        <f>TRIM(Raw_Data!C173)</f>
        <v>Tier 2</v>
      </c>
      <c r="D173" s="6">
        <f>DATEVALUE(TEXT(Raw_Data!D173, "YYYY-MM-DD"))</f>
        <v>46073</v>
      </c>
      <c r="E173" s="6">
        <f>IF(ISBLANK(Raw_Data!E173), "", DATEVALUE(TEXT(Raw_Data!E173, "YYYY-MM-DD")))</f>
        <v>46077</v>
      </c>
      <c r="F173" s="5">
        <f t="shared" si="1"/>
        <v>4</v>
      </c>
      <c r="G173" s="5">
        <f t="shared" si="2"/>
        <v>3</v>
      </c>
      <c r="H173" s="5" t="str">
        <f t="shared" si="3"/>
        <v>ON TIME</v>
      </c>
      <c r="I173" s="5">
        <f>Raw_Data!F173</f>
        <v>1454</v>
      </c>
      <c r="J173" s="5">
        <f t="shared" si="4"/>
        <v>0</v>
      </c>
    </row>
    <row r="174">
      <c r="A174" s="5" t="str">
        <f>Raw_Data!A174</f>
        <v>TRK100172</v>
      </c>
      <c r="B174" s="5" t="str">
        <f>TRIM(Raw_Data!B174)</f>
        <v>Delhivery</v>
      </c>
      <c r="C174" s="5" t="str">
        <f>TRIM(Raw_Data!C174)</f>
        <v>Tier 2</v>
      </c>
      <c r="D174" s="6">
        <f>DATEVALUE(TEXT(Raw_Data!D174, "YYYY-MM-DD"))</f>
        <v>46055</v>
      </c>
      <c r="E174" s="6">
        <f>IF(ISBLANK(Raw_Data!E174), "", DATEVALUE(TEXT(Raw_Data!E174, "YYYY-MM-DD")))</f>
        <v>46059</v>
      </c>
      <c r="F174" s="5">
        <f t="shared" si="1"/>
        <v>4</v>
      </c>
      <c r="G174" s="5">
        <f t="shared" si="2"/>
        <v>5</v>
      </c>
      <c r="H174" s="5" t="str">
        <f t="shared" si="3"/>
        <v>SLA BREACH</v>
      </c>
      <c r="I174" s="5">
        <f>Raw_Data!F174</f>
        <v>9675</v>
      </c>
      <c r="J174" s="5">
        <f t="shared" si="4"/>
        <v>483.75</v>
      </c>
    </row>
    <row r="175">
      <c r="A175" s="5" t="str">
        <f>Raw_Data!A175</f>
        <v>TRK100173</v>
      </c>
      <c r="B175" s="5" t="str">
        <f>TRIM(Raw_Data!B175)</f>
        <v>EcomExpress</v>
      </c>
      <c r="C175" s="5" t="str">
        <f>TRIM(Raw_Data!C175)</f>
        <v>Tier 2</v>
      </c>
      <c r="D175" s="6">
        <f>DATEVALUE(TEXT(Raw_Data!D175, "YYYY-MM-DD"))</f>
        <v>46030</v>
      </c>
      <c r="E175" s="6">
        <f>IF(ISBLANK(Raw_Data!E175), "", DATEVALUE(TEXT(Raw_Data!E175, "YYYY-MM-DD")))</f>
        <v>46034</v>
      </c>
      <c r="F175" s="5">
        <f t="shared" si="1"/>
        <v>4</v>
      </c>
      <c r="G175" s="5">
        <f t="shared" si="2"/>
        <v>3</v>
      </c>
      <c r="H175" s="5" t="str">
        <f t="shared" si="3"/>
        <v>ON TIME</v>
      </c>
      <c r="I175" s="5">
        <f>Raw_Data!F175</f>
        <v>7791</v>
      </c>
      <c r="J175" s="5">
        <f t="shared" si="4"/>
        <v>0</v>
      </c>
    </row>
    <row r="176">
      <c r="A176" s="5" t="str">
        <f>Raw_Data!A176</f>
        <v>TRK100174</v>
      </c>
      <c r="B176" s="5" t="str">
        <f>TRIM(Raw_Data!B176)</f>
        <v>EcomExpress</v>
      </c>
      <c r="C176" s="5" t="str">
        <f>TRIM(Raw_Data!C176)</f>
        <v>Tier 3</v>
      </c>
      <c r="D176" s="6">
        <f>DATEVALUE(TEXT(Raw_Data!D176, "YYYY-MM-DD"))</f>
        <v>46073</v>
      </c>
      <c r="E176" s="6">
        <f>IF(ISBLANK(Raw_Data!E176), "", DATEVALUE(TEXT(Raw_Data!E176, "YYYY-MM-DD")))</f>
        <v>46079</v>
      </c>
      <c r="F176" s="5">
        <f t="shared" si="1"/>
        <v>6</v>
      </c>
      <c r="G176" s="5">
        <f t="shared" si="2"/>
        <v>5</v>
      </c>
      <c r="H176" s="5" t="str">
        <f t="shared" si="3"/>
        <v>ON TIME</v>
      </c>
      <c r="I176" s="5">
        <f>Raw_Data!F176</f>
        <v>1474</v>
      </c>
      <c r="J176" s="5">
        <f t="shared" si="4"/>
        <v>0</v>
      </c>
    </row>
    <row r="177">
      <c r="A177" s="5" t="str">
        <f>Raw_Data!A177</f>
        <v>TRK100175</v>
      </c>
      <c r="B177" s="5" t="str">
        <f>TRIM(Raw_Data!B177)</f>
        <v>BlueDart</v>
      </c>
      <c r="C177" s="5" t="str">
        <f>TRIM(Raw_Data!C177)</f>
        <v>Tier 3</v>
      </c>
      <c r="D177" s="6">
        <f>DATEVALUE(TEXT(Raw_Data!D177, "YYYY-MM-DD"))</f>
        <v>46038</v>
      </c>
      <c r="E177" s="6">
        <f>IF(ISBLANK(Raw_Data!E177), "", DATEVALUE(TEXT(Raw_Data!E177, "YYYY-MM-DD")))</f>
        <v>46044</v>
      </c>
      <c r="F177" s="5">
        <f t="shared" si="1"/>
        <v>6</v>
      </c>
      <c r="G177" s="5">
        <f t="shared" si="2"/>
        <v>5</v>
      </c>
      <c r="H177" s="5" t="str">
        <f t="shared" si="3"/>
        <v>ON TIME</v>
      </c>
      <c r="I177" s="5">
        <f>Raw_Data!F177</f>
        <v>4633</v>
      </c>
      <c r="J177" s="5">
        <f t="shared" si="4"/>
        <v>0</v>
      </c>
    </row>
    <row r="178">
      <c r="A178" s="5" t="str">
        <f>Raw_Data!A178</f>
        <v>TRK100176</v>
      </c>
      <c r="B178" s="5" t="str">
        <f>TRIM(Raw_Data!B178)</f>
        <v>EcomExpress</v>
      </c>
      <c r="C178" s="5" t="str">
        <f>TRIM(Raw_Data!C178)</f>
        <v>Tier 2</v>
      </c>
      <c r="D178" s="6">
        <f>DATEVALUE(TEXT(Raw_Data!D178, "YYYY-MM-DD"))</f>
        <v>46054</v>
      </c>
      <c r="E178" s="6">
        <f>IF(ISBLANK(Raw_Data!E178), "", DATEVALUE(TEXT(Raw_Data!E178, "YYYY-MM-DD")))</f>
        <v>46058</v>
      </c>
      <c r="F178" s="5">
        <f t="shared" si="1"/>
        <v>4</v>
      </c>
      <c r="G178" s="5">
        <f t="shared" si="2"/>
        <v>4</v>
      </c>
      <c r="H178" s="5" t="str">
        <f t="shared" si="3"/>
        <v>ON TIME</v>
      </c>
      <c r="I178" s="5">
        <f>Raw_Data!F178</f>
        <v>5870</v>
      </c>
      <c r="J178" s="5">
        <f t="shared" si="4"/>
        <v>0</v>
      </c>
    </row>
    <row r="179">
      <c r="A179" s="5" t="str">
        <f>Raw_Data!A179</f>
        <v>TRK100177</v>
      </c>
      <c r="B179" s="5" t="str">
        <f>TRIM(Raw_Data!B179)</f>
        <v>Delhivery</v>
      </c>
      <c r="C179" s="5" t="str">
        <f>TRIM(Raw_Data!C179)</f>
        <v>Tier 2</v>
      </c>
      <c r="D179" s="6">
        <f>DATEVALUE(TEXT(Raw_Data!D179, "YYYY-MM-DD"))</f>
        <v>46046</v>
      </c>
      <c r="E179" s="6">
        <f>IF(ISBLANK(Raw_Data!E179), "", DATEVALUE(TEXT(Raw_Data!E179, "YYYY-MM-DD")))</f>
        <v>46050</v>
      </c>
      <c r="F179" s="5">
        <f t="shared" si="1"/>
        <v>4</v>
      </c>
      <c r="G179" s="5">
        <f t="shared" si="2"/>
        <v>3</v>
      </c>
      <c r="H179" s="5" t="str">
        <f t="shared" si="3"/>
        <v>ON TIME</v>
      </c>
      <c r="I179" s="5">
        <f>Raw_Data!F179</f>
        <v>4472</v>
      </c>
      <c r="J179" s="5">
        <f t="shared" si="4"/>
        <v>0</v>
      </c>
    </row>
    <row r="180">
      <c r="A180" s="5" t="str">
        <f>Raw_Data!A180</f>
        <v>TRK100178</v>
      </c>
      <c r="B180" s="5" t="str">
        <f>TRIM(Raw_Data!B180)</f>
        <v>EcomExpress</v>
      </c>
      <c r="C180" s="5" t="str">
        <f>TRIM(Raw_Data!C180)</f>
        <v>Tier 2</v>
      </c>
      <c r="D180" s="6">
        <f>DATEVALUE(TEXT(Raw_Data!D180, "YYYY-MM-DD"))</f>
        <v>46059</v>
      </c>
      <c r="E180" s="6">
        <f>IF(ISBLANK(Raw_Data!E180), "", DATEVALUE(TEXT(Raw_Data!E180, "YYYY-MM-DD")))</f>
        <v>46066</v>
      </c>
      <c r="F180" s="5">
        <f t="shared" si="1"/>
        <v>4</v>
      </c>
      <c r="G180" s="5">
        <f t="shared" si="2"/>
        <v>6</v>
      </c>
      <c r="H180" s="5" t="str">
        <f t="shared" si="3"/>
        <v>SLA BREACH</v>
      </c>
      <c r="I180" s="5">
        <f>Raw_Data!F180</f>
        <v>5795</v>
      </c>
      <c r="J180" s="5">
        <f t="shared" si="4"/>
        <v>289.75</v>
      </c>
    </row>
    <row r="181">
      <c r="A181" s="5" t="str">
        <f>Raw_Data!A181</f>
        <v>TRK100179</v>
      </c>
      <c r="B181" s="5" t="str">
        <f>TRIM(Raw_Data!B181)</f>
        <v>Delhivery</v>
      </c>
      <c r="C181" s="5" t="str">
        <f>TRIM(Raw_Data!C181)</f>
        <v>Metro</v>
      </c>
      <c r="D181" s="6">
        <f>DATEVALUE(TEXT(Raw_Data!D181, "YYYY-MM-DD"))</f>
        <v>46052</v>
      </c>
      <c r="E181" s="6">
        <f>IF(ISBLANK(Raw_Data!E181), "", DATEVALUE(TEXT(Raw_Data!E181, "YYYY-MM-DD")))</f>
        <v>46054</v>
      </c>
      <c r="F181" s="5">
        <f t="shared" si="1"/>
        <v>2</v>
      </c>
      <c r="G181" s="5">
        <f t="shared" si="2"/>
        <v>1</v>
      </c>
      <c r="H181" s="5" t="str">
        <f t="shared" si="3"/>
        <v>ON TIME</v>
      </c>
      <c r="I181" s="5">
        <f>Raw_Data!F181</f>
        <v>9605</v>
      </c>
      <c r="J181" s="5">
        <f t="shared" si="4"/>
        <v>0</v>
      </c>
    </row>
    <row r="182">
      <c r="A182" s="5" t="str">
        <f>Raw_Data!A182</f>
        <v>TRK100180</v>
      </c>
      <c r="B182" s="5" t="str">
        <f>TRIM(Raw_Data!B182)</f>
        <v>EcomExpress</v>
      </c>
      <c r="C182" s="5" t="str">
        <f>TRIM(Raw_Data!C182)</f>
        <v>Tier 3</v>
      </c>
      <c r="D182" s="6">
        <f>DATEVALUE(TEXT(Raw_Data!D182, "YYYY-MM-DD"))</f>
        <v>46058</v>
      </c>
      <c r="E182" s="6">
        <f>IF(ISBLANK(Raw_Data!E182), "", DATEVALUE(TEXT(Raw_Data!E182, "YYYY-MM-DD")))</f>
        <v>46064</v>
      </c>
      <c r="F182" s="5">
        <f t="shared" si="1"/>
        <v>6</v>
      </c>
      <c r="G182" s="5">
        <f t="shared" si="2"/>
        <v>5</v>
      </c>
      <c r="H182" s="5" t="str">
        <f t="shared" si="3"/>
        <v>ON TIME</v>
      </c>
      <c r="I182" s="5">
        <f>Raw_Data!F182</f>
        <v>8728</v>
      </c>
      <c r="J182" s="5">
        <f t="shared" si="4"/>
        <v>0</v>
      </c>
    </row>
    <row r="183">
      <c r="A183" s="5" t="str">
        <f>Raw_Data!A183</f>
        <v>TRK100181</v>
      </c>
      <c r="B183" s="5" t="str">
        <f>TRIM(Raw_Data!B183)</f>
        <v>BlueDart</v>
      </c>
      <c r="C183" s="5" t="str">
        <f>TRIM(Raw_Data!C183)</f>
        <v>Metro</v>
      </c>
      <c r="D183" s="6">
        <f>DATEVALUE(TEXT(Raw_Data!D183, "YYYY-MM-DD"))</f>
        <v>46062</v>
      </c>
      <c r="E183" s="6">
        <f>IF(ISBLANK(Raw_Data!E183), "", DATEVALUE(TEXT(Raw_Data!E183, "YYYY-MM-DD")))</f>
        <v>46064</v>
      </c>
      <c r="F183" s="5">
        <f t="shared" si="1"/>
        <v>2</v>
      </c>
      <c r="G183" s="5">
        <f t="shared" si="2"/>
        <v>3</v>
      </c>
      <c r="H183" s="5" t="str">
        <f t="shared" si="3"/>
        <v>SLA BREACH</v>
      </c>
      <c r="I183" s="5">
        <f>Raw_Data!F183</f>
        <v>10403</v>
      </c>
      <c r="J183" s="5">
        <f t="shared" si="4"/>
        <v>520.15</v>
      </c>
    </row>
    <row r="184">
      <c r="A184" s="5" t="str">
        <f>Raw_Data!A184</f>
        <v>TRK100182</v>
      </c>
      <c r="B184" s="5" t="str">
        <f>TRIM(Raw_Data!B184)</f>
        <v>EcomExpress</v>
      </c>
      <c r="C184" s="5" t="str">
        <f>TRIM(Raw_Data!C184)</f>
        <v>Tier 3</v>
      </c>
      <c r="D184" s="6">
        <f>DATEVALUE(TEXT(Raw_Data!D184, "YYYY-MM-DD"))</f>
        <v>46027</v>
      </c>
      <c r="E184" s="6">
        <f>IF(ISBLANK(Raw_Data!E184), "", DATEVALUE(TEXT(Raw_Data!E184, "YYYY-MM-DD")))</f>
        <v>46036</v>
      </c>
      <c r="F184" s="5">
        <f t="shared" si="1"/>
        <v>6</v>
      </c>
      <c r="G184" s="5">
        <f t="shared" si="2"/>
        <v>8</v>
      </c>
      <c r="H184" s="5" t="str">
        <f t="shared" si="3"/>
        <v>SLA BREACH</v>
      </c>
      <c r="I184" s="5">
        <f>Raw_Data!F184</f>
        <v>3520</v>
      </c>
      <c r="J184" s="5">
        <f t="shared" si="4"/>
        <v>176</v>
      </c>
    </row>
    <row r="185">
      <c r="A185" s="5" t="str">
        <f>Raw_Data!A185</f>
        <v>TRK100183</v>
      </c>
      <c r="B185" s="5" t="str">
        <f>TRIM(Raw_Data!B185)</f>
        <v>EcomExpress</v>
      </c>
      <c r="C185" s="5" t="str">
        <f>TRIM(Raw_Data!C185)</f>
        <v>Tier 2</v>
      </c>
      <c r="D185" s="6">
        <f>DATEVALUE(TEXT(Raw_Data!D185, "YYYY-MM-DD"))</f>
        <v>46048</v>
      </c>
      <c r="E185" s="6">
        <f>IF(ISBLANK(Raw_Data!E185), "", DATEVALUE(TEXT(Raw_Data!E185, "YYYY-MM-DD")))</f>
        <v>46054</v>
      </c>
      <c r="F185" s="5">
        <f t="shared" si="1"/>
        <v>4</v>
      </c>
      <c r="G185" s="5">
        <f t="shared" si="2"/>
        <v>5</v>
      </c>
      <c r="H185" s="5" t="str">
        <f t="shared" si="3"/>
        <v>SLA BREACH</v>
      </c>
      <c r="I185" s="5">
        <f>Raw_Data!F185</f>
        <v>9487</v>
      </c>
      <c r="J185" s="5">
        <f t="shared" si="4"/>
        <v>474.35</v>
      </c>
    </row>
    <row r="186">
      <c r="A186" s="5" t="str">
        <f>Raw_Data!A186</f>
        <v>TRK100184</v>
      </c>
      <c r="B186" s="5" t="str">
        <f>TRIM(Raw_Data!B186)</f>
        <v>EcomExpress</v>
      </c>
      <c r="C186" s="5" t="str">
        <f>TRIM(Raw_Data!C186)</f>
        <v>Metro</v>
      </c>
      <c r="D186" s="6">
        <f>DATEVALUE(TEXT(Raw_Data!D186, "YYYY-MM-DD"))</f>
        <v>46069</v>
      </c>
      <c r="E186" s="6">
        <f>IF(ISBLANK(Raw_Data!E186), "", DATEVALUE(TEXT(Raw_Data!E186, "YYYY-MM-DD")))</f>
        <v>46071</v>
      </c>
      <c r="F186" s="5">
        <f t="shared" si="1"/>
        <v>2</v>
      </c>
      <c r="G186" s="5">
        <f t="shared" si="2"/>
        <v>3</v>
      </c>
      <c r="H186" s="5" t="str">
        <f t="shared" si="3"/>
        <v>SLA BREACH</v>
      </c>
      <c r="I186" s="5">
        <f>Raw_Data!F186</f>
        <v>4536</v>
      </c>
      <c r="J186" s="5">
        <f t="shared" si="4"/>
        <v>226.8</v>
      </c>
    </row>
    <row r="187">
      <c r="A187" s="5" t="str">
        <f>Raw_Data!A187</f>
        <v>TRK100185</v>
      </c>
      <c r="B187" s="5" t="str">
        <f>TRIM(Raw_Data!B187)</f>
        <v>Delhivery</v>
      </c>
      <c r="C187" s="5" t="str">
        <f>TRIM(Raw_Data!C187)</f>
        <v>Tier 2</v>
      </c>
      <c r="D187" s="6">
        <f>DATEVALUE(TEXT(Raw_Data!D187, "YYYY-MM-DD"))</f>
        <v>46056</v>
      </c>
      <c r="E187" s="6">
        <f>IF(ISBLANK(Raw_Data!E187), "", DATEVALUE(TEXT(Raw_Data!E187, "YYYY-MM-DD")))</f>
        <v>46060</v>
      </c>
      <c r="F187" s="5">
        <f t="shared" si="1"/>
        <v>4</v>
      </c>
      <c r="G187" s="5">
        <f t="shared" si="2"/>
        <v>4</v>
      </c>
      <c r="H187" s="5" t="str">
        <f t="shared" si="3"/>
        <v>ON TIME</v>
      </c>
      <c r="I187" s="5">
        <f>Raw_Data!F187</f>
        <v>5568</v>
      </c>
      <c r="J187" s="5">
        <f t="shared" si="4"/>
        <v>0</v>
      </c>
    </row>
    <row r="188">
      <c r="A188" s="5" t="str">
        <f>Raw_Data!A188</f>
        <v>TRK100186</v>
      </c>
      <c r="B188" s="5" t="str">
        <f>TRIM(Raw_Data!B188)</f>
        <v>Delhivery</v>
      </c>
      <c r="C188" s="5" t="str">
        <f>TRIM(Raw_Data!C188)</f>
        <v>Metro</v>
      </c>
      <c r="D188" s="6">
        <f>DATEVALUE(TEXT(Raw_Data!D188, "YYYY-MM-DD"))</f>
        <v>46072</v>
      </c>
      <c r="E188" s="6">
        <f>IF(ISBLANK(Raw_Data!E188), "", DATEVALUE(TEXT(Raw_Data!E188, "YYYY-MM-DD")))</f>
        <v>46075</v>
      </c>
      <c r="F188" s="5">
        <f t="shared" si="1"/>
        <v>2</v>
      </c>
      <c r="G188" s="5">
        <f t="shared" si="2"/>
        <v>2</v>
      </c>
      <c r="H188" s="5" t="str">
        <f t="shared" si="3"/>
        <v>ON TIME</v>
      </c>
      <c r="I188" s="5">
        <f>Raw_Data!F188</f>
        <v>5733</v>
      </c>
      <c r="J188" s="5">
        <f t="shared" si="4"/>
        <v>0</v>
      </c>
    </row>
    <row r="189">
      <c r="A189" s="5" t="str">
        <f>Raw_Data!A189</f>
        <v>TRK100187</v>
      </c>
      <c r="B189" s="5" t="str">
        <f>TRIM(Raw_Data!B189)</f>
        <v>BlueDart</v>
      </c>
      <c r="C189" s="5" t="str">
        <f>TRIM(Raw_Data!C189)</f>
        <v>Tier 2</v>
      </c>
      <c r="D189" s="6">
        <f>DATEVALUE(TEXT(Raw_Data!D189, "YYYY-MM-DD"))</f>
        <v>46075</v>
      </c>
      <c r="E189" s="6">
        <f>IF(ISBLANK(Raw_Data!E189), "", DATEVALUE(TEXT(Raw_Data!E189, "YYYY-MM-DD")))</f>
        <v>46079</v>
      </c>
      <c r="F189" s="5">
        <f t="shared" si="1"/>
        <v>4</v>
      </c>
      <c r="G189" s="5">
        <f t="shared" si="2"/>
        <v>4</v>
      </c>
      <c r="H189" s="5" t="str">
        <f t="shared" si="3"/>
        <v>ON TIME</v>
      </c>
      <c r="I189" s="5">
        <f>Raw_Data!F189</f>
        <v>11803</v>
      </c>
      <c r="J189" s="5">
        <f t="shared" si="4"/>
        <v>0</v>
      </c>
    </row>
    <row r="190">
      <c r="A190" s="5" t="str">
        <f>Raw_Data!A190</f>
        <v>TRK100188</v>
      </c>
      <c r="B190" s="5" t="str">
        <f>TRIM(Raw_Data!B190)</f>
        <v>Delhivery</v>
      </c>
      <c r="C190" s="5" t="str">
        <f>TRIM(Raw_Data!C190)</f>
        <v>Tier 3</v>
      </c>
      <c r="D190" s="6">
        <f>DATEVALUE(TEXT(Raw_Data!D190, "YYYY-MM-DD"))</f>
        <v>46027</v>
      </c>
      <c r="E190" s="6">
        <f>IF(ISBLANK(Raw_Data!E190), "", DATEVALUE(TEXT(Raw_Data!E190, "YYYY-MM-DD")))</f>
        <v>46033</v>
      </c>
      <c r="F190" s="5">
        <f t="shared" si="1"/>
        <v>6</v>
      </c>
      <c r="G190" s="5">
        <f t="shared" si="2"/>
        <v>5</v>
      </c>
      <c r="H190" s="5" t="str">
        <f t="shared" si="3"/>
        <v>ON TIME</v>
      </c>
      <c r="I190" s="5">
        <f>Raw_Data!F190</f>
        <v>10016</v>
      </c>
      <c r="J190" s="5">
        <f t="shared" si="4"/>
        <v>0</v>
      </c>
    </row>
    <row r="191">
      <c r="A191" s="5" t="str">
        <f>Raw_Data!A191</f>
        <v>TRK100189</v>
      </c>
      <c r="B191" s="5" t="str">
        <f>TRIM(Raw_Data!B191)</f>
        <v>EcomExpress</v>
      </c>
      <c r="C191" s="5" t="str">
        <f>TRIM(Raw_Data!C191)</f>
        <v>Tier 2</v>
      </c>
      <c r="D191" s="6">
        <f>DATEVALUE(TEXT(Raw_Data!D191, "YYYY-MM-DD"))</f>
        <v>46043</v>
      </c>
      <c r="E191" s="6" t="str">
        <f>IF(ISBLANK(Raw_Data!E191), "", DATEVALUE(TEXT(Raw_Data!E191, "YYYY-MM-DD")))</f>
        <v/>
      </c>
      <c r="F191" s="5">
        <f t="shared" si="1"/>
        <v>4</v>
      </c>
      <c r="G191" s="5" t="str">
        <f t="shared" si="2"/>
        <v>In-Transit</v>
      </c>
      <c r="H191" s="5" t="str">
        <f t="shared" si="3"/>
        <v>Pending</v>
      </c>
      <c r="I191" s="5">
        <f>Raw_Data!F191</f>
        <v>817</v>
      </c>
      <c r="J191" s="5">
        <f t="shared" si="4"/>
        <v>0</v>
      </c>
    </row>
    <row r="192">
      <c r="A192" s="5" t="str">
        <f>Raw_Data!A192</f>
        <v>TRK100190</v>
      </c>
      <c r="B192" s="5" t="str">
        <f>TRIM(Raw_Data!B192)</f>
        <v>EcomExpress</v>
      </c>
      <c r="C192" s="5" t="str">
        <f>TRIM(Raw_Data!C192)</f>
        <v>Tier 3</v>
      </c>
      <c r="D192" s="6">
        <f>DATEVALUE(TEXT(Raw_Data!D192, "YYYY-MM-DD"))</f>
        <v>46027</v>
      </c>
      <c r="E192" s="6">
        <f>IF(ISBLANK(Raw_Data!E192), "", DATEVALUE(TEXT(Raw_Data!E192, "YYYY-MM-DD")))</f>
        <v>46033</v>
      </c>
      <c r="F192" s="5">
        <f t="shared" si="1"/>
        <v>6</v>
      </c>
      <c r="G192" s="5">
        <f t="shared" si="2"/>
        <v>5</v>
      </c>
      <c r="H192" s="5" t="str">
        <f t="shared" si="3"/>
        <v>ON TIME</v>
      </c>
      <c r="I192" s="5">
        <f>Raw_Data!F192</f>
        <v>2896</v>
      </c>
      <c r="J192" s="5">
        <f t="shared" si="4"/>
        <v>0</v>
      </c>
    </row>
    <row r="193">
      <c r="A193" s="5" t="str">
        <f>Raw_Data!A193</f>
        <v>TRK100191</v>
      </c>
      <c r="B193" s="5" t="str">
        <f>TRIM(Raw_Data!B193)</f>
        <v>Delhivery</v>
      </c>
      <c r="C193" s="5" t="str">
        <f>TRIM(Raw_Data!C193)</f>
        <v>Tier 2</v>
      </c>
      <c r="D193" s="6">
        <f>DATEVALUE(TEXT(Raw_Data!D193, "YYYY-MM-DD"))</f>
        <v>46052</v>
      </c>
      <c r="E193" s="6">
        <f>IF(ISBLANK(Raw_Data!E193), "", DATEVALUE(TEXT(Raw_Data!E193, "YYYY-MM-DD")))</f>
        <v>46058</v>
      </c>
      <c r="F193" s="5">
        <f t="shared" si="1"/>
        <v>4</v>
      </c>
      <c r="G193" s="5">
        <f t="shared" si="2"/>
        <v>5</v>
      </c>
      <c r="H193" s="5" t="str">
        <f t="shared" si="3"/>
        <v>SLA BREACH</v>
      </c>
      <c r="I193" s="5">
        <f>Raw_Data!F193</f>
        <v>2662</v>
      </c>
      <c r="J193" s="5">
        <f t="shared" si="4"/>
        <v>133.1</v>
      </c>
    </row>
    <row r="194">
      <c r="A194" s="5" t="str">
        <f>Raw_Data!A194</f>
        <v>TRK100192</v>
      </c>
      <c r="B194" s="5" t="str">
        <f>TRIM(Raw_Data!B194)</f>
        <v>EcomExpress</v>
      </c>
      <c r="C194" s="5" t="str">
        <f>TRIM(Raw_Data!C194)</f>
        <v>Tier 2</v>
      </c>
      <c r="D194" s="6">
        <f>DATEVALUE(TEXT(Raw_Data!D194, "YYYY-MM-DD"))</f>
        <v>46056</v>
      </c>
      <c r="E194" s="6">
        <f>IF(ISBLANK(Raw_Data!E194), "", DATEVALUE(TEXT(Raw_Data!E194, "YYYY-MM-DD")))</f>
        <v>46062</v>
      </c>
      <c r="F194" s="5">
        <f t="shared" si="1"/>
        <v>4</v>
      </c>
      <c r="G194" s="5">
        <f t="shared" si="2"/>
        <v>5</v>
      </c>
      <c r="H194" s="5" t="str">
        <f t="shared" si="3"/>
        <v>SLA BREACH</v>
      </c>
      <c r="I194" s="5">
        <f>Raw_Data!F194</f>
        <v>3245</v>
      </c>
      <c r="J194" s="5">
        <f t="shared" si="4"/>
        <v>162.25</v>
      </c>
    </row>
    <row r="195">
      <c r="A195" s="5" t="str">
        <f>Raw_Data!A195</f>
        <v>TRK100193</v>
      </c>
      <c r="B195" s="5" t="str">
        <f>TRIM(Raw_Data!B195)</f>
        <v>BlueDart</v>
      </c>
      <c r="C195" s="5" t="str">
        <f>TRIM(Raw_Data!C195)</f>
        <v>Tier 3</v>
      </c>
      <c r="D195" s="6">
        <f>DATEVALUE(TEXT(Raw_Data!D195, "YYYY-MM-DD"))</f>
        <v>46031</v>
      </c>
      <c r="E195" s="6">
        <f>IF(ISBLANK(Raw_Data!E195), "", DATEVALUE(TEXT(Raw_Data!E195, "YYYY-MM-DD")))</f>
        <v>46037</v>
      </c>
      <c r="F195" s="5">
        <f t="shared" si="1"/>
        <v>6</v>
      </c>
      <c r="G195" s="5">
        <f t="shared" si="2"/>
        <v>5</v>
      </c>
      <c r="H195" s="5" t="str">
        <f t="shared" si="3"/>
        <v>ON TIME</v>
      </c>
      <c r="I195" s="5">
        <f>Raw_Data!F195</f>
        <v>2091</v>
      </c>
      <c r="J195" s="5">
        <f t="shared" si="4"/>
        <v>0</v>
      </c>
    </row>
    <row r="196">
      <c r="A196" s="5" t="str">
        <f>Raw_Data!A196</f>
        <v>TRK100194</v>
      </c>
      <c r="B196" s="5" t="str">
        <f>TRIM(Raw_Data!B196)</f>
        <v>BlueDart</v>
      </c>
      <c r="C196" s="5" t="str">
        <f>TRIM(Raw_Data!C196)</f>
        <v>Tier 3</v>
      </c>
      <c r="D196" s="6">
        <f>DATEVALUE(TEXT(Raw_Data!D196, "YYYY-MM-DD"))</f>
        <v>46058</v>
      </c>
      <c r="E196" s="6" t="str">
        <f>IF(ISBLANK(Raw_Data!E196), "", DATEVALUE(TEXT(Raw_Data!E196, "YYYY-MM-DD")))</f>
        <v/>
      </c>
      <c r="F196" s="5">
        <f t="shared" si="1"/>
        <v>6</v>
      </c>
      <c r="G196" s="5" t="str">
        <f t="shared" si="2"/>
        <v>In-Transit</v>
      </c>
      <c r="H196" s="5" t="str">
        <f t="shared" si="3"/>
        <v>Pending</v>
      </c>
      <c r="I196" s="5">
        <f>Raw_Data!F196</f>
        <v>11803</v>
      </c>
      <c r="J196" s="5">
        <f t="shared" si="4"/>
        <v>0</v>
      </c>
    </row>
    <row r="197">
      <c r="A197" s="5" t="str">
        <f>Raw_Data!A197</f>
        <v>TRK100195</v>
      </c>
      <c r="B197" s="5" t="str">
        <f>TRIM(Raw_Data!B197)</f>
        <v>Delhivery</v>
      </c>
      <c r="C197" s="5" t="str">
        <f>TRIM(Raw_Data!C197)</f>
        <v>Metro</v>
      </c>
      <c r="D197" s="6">
        <f>DATEVALUE(TEXT(Raw_Data!D197, "YYYY-MM-DD"))</f>
        <v>46060</v>
      </c>
      <c r="E197" s="6">
        <f>IF(ISBLANK(Raw_Data!E197), "", DATEVALUE(TEXT(Raw_Data!E197, "YYYY-MM-DD")))</f>
        <v>46062</v>
      </c>
      <c r="F197" s="5">
        <f t="shared" si="1"/>
        <v>2</v>
      </c>
      <c r="G197" s="5">
        <f t="shared" si="2"/>
        <v>1</v>
      </c>
      <c r="H197" s="5" t="str">
        <f t="shared" si="3"/>
        <v>ON TIME</v>
      </c>
      <c r="I197" s="5">
        <f>Raw_Data!F197</f>
        <v>6683</v>
      </c>
      <c r="J197" s="5">
        <f t="shared" si="4"/>
        <v>0</v>
      </c>
    </row>
    <row r="198">
      <c r="A198" s="5" t="str">
        <f>Raw_Data!A198</f>
        <v>TRK100196</v>
      </c>
      <c r="B198" s="5" t="str">
        <f>TRIM(Raw_Data!B198)</f>
        <v>Delhivery</v>
      </c>
      <c r="C198" s="5" t="str">
        <f>TRIM(Raw_Data!C198)</f>
        <v>Tier 2</v>
      </c>
      <c r="D198" s="6">
        <f>DATEVALUE(TEXT(Raw_Data!D198, "YYYY-MM-DD"))</f>
        <v>46072</v>
      </c>
      <c r="E198" s="6">
        <f>IF(ISBLANK(Raw_Data!E198), "", DATEVALUE(TEXT(Raw_Data!E198, "YYYY-MM-DD")))</f>
        <v>46077</v>
      </c>
      <c r="F198" s="5">
        <f t="shared" si="1"/>
        <v>4</v>
      </c>
      <c r="G198" s="5">
        <f t="shared" si="2"/>
        <v>4</v>
      </c>
      <c r="H198" s="5" t="str">
        <f t="shared" si="3"/>
        <v>ON TIME</v>
      </c>
      <c r="I198" s="5">
        <f>Raw_Data!F198</f>
        <v>4430</v>
      </c>
      <c r="J198" s="5">
        <f t="shared" si="4"/>
        <v>0</v>
      </c>
    </row>
    <row r="199">
      <c r="A199" s="5" t="str">
        <f>Raw_Data!A199</f>
        <v>TRK100197</v>
      </c>
      <c r="B199" s="5" t="str">
        <f>TRIM(Raw_Data!B199)</f>
        <v>BlueDart</v>
      </c>
      <c r="C199" s="5" t="str">
        <f>TRIM(Raw_Data!C199)</f>
        <v>Metro</v>
      </c>
      <c r="D199" s="6">
        <f>DATEVALUE(TEXT(Raw_Data!D199, "YYYY-MM-DD"))</f>
        <v>46050</v>
      </c>
      <c r="E199" s="6">
        <f>IF(ISBLANK(Raw_Data!E199), "", DATEVALUE(TEXT(Raw_Data!E199, "YYYY-MM-DD")))</f>
        <v>46054</v>
      </c>
      <c r="F199" s="5">
        <f t="shared" si="1"/>
        <v>2</v>
      </c>
      <c r="G199" s="5">
        <f t="shared" si="2"/>
        <v>3</v>
      </c>
      <c r="H199" s="5" t="str">
        <f t="shared" si="3"/>
        <v>SLA BREACH</v>
      </c>
      <c r="I199" s="5">
        <f>Raw_Data!F199</f>
        <v>10688</v>
      </c>
      <c r="J199" s="5">
        <f t="shared" si="4"/>
        <v>534.4</v>
      </c>
    </row>
    <row r="200">
      <c r="A200" s="5" t="str">
        <f>Raw_Data!A200</f>
        <v>TRK100198</v>
      </c>
      <c r="B200" s="5" t="str">
        <f>TRIM(Raw_Data!B200)</f>
        <v>BlueDart</v>
      </c>
      <c r="C200" s="5" t="str">
        <f>TRIM(Raw_Data!C200)</f>
        <v>Metro</v>
      </c>
      <c r="D200" s="6">
        <f>DATEVALUE(TEXT(Raw_Data!D200, "YYYY-MM-DD"))</f>
        <v>46081</v>
      </c>
      <c r="E200" s="6">
        <f>IF(ISBLANK(Raw_Data!E200), "", DATEVALUE(TEXT(Raw_Data!E200, "YYYY-MM-DD")))</f>
        <v>46085</v>
      </c>
      <c r="F200" s="5">
        <f t="shared" si="1"/>
        <v>2</v>
      </c>
      <c r="G200" s="5">
        <f t="shared" si="2"/>
        <v>3</v>
      </c>
      <c r="H200" s="5" t="str">
        <f t="shared" si="3"/>
        <v>SLA BREACH</v>
      </c>
      <c r="I200" s="5">
        <f>Raw_Data!F200</f>
        <v>1812</v>
      </c>
      <c r="J200" s="5">
        <f t="shared" si="4"/>
        <v>90.6</v>
      </c>
    </row>
    <row r="201">
      <c r="A201" s="5" t="str">
        <f>Raw_Data!A201</f>
        <v>TRK100199</v>
      </c>
      <c r="B201" s="5" t="str">
        <f>TRIM(Raw_Data!B201)</f>
        <v>Delhivery</v>
      </c>
      <c r="C201" s="5" t="str">
        <f>TRIM(Raw_Data!C201)</f>
        <v>Tier 3</v>
      </c>
      <c r="D201" s="6">
        <f>DATEVALUE(TEXT(Raw_Data!D201, "YYYY-MM-DD"))</f>
        <v>46076</v>
      </c>
      <c r="E201" s="6">
        <f>IF(ISBLANK(Raw_Data!E201), "", DATEVALUE(TEXT(Raw_Data!E201, "YYYY-MM-DD")))</f>
        <v>46083</v>
      </c>
      <c r="F201" s="5">
        <f t="shared" si="1"/>
        <v>6</v>
      </c>
      <c r="G201" s="5">
        <f t="shared" si="2"/>
        <v>6</v>
      </c>
      <c r="H201" s="5" t="str">
        <f t="shared" si="3"/>
        <v>ON TIME</v>
      </c>
      <c r="I201" s="5">
        <f>Raw_Data!F201</f>
        <v>9977</v>
      </c>
      <c r="J201" s="5">
        <f t="shared" si="4"/>
        <v>0</v>
      </c>
    </row>
    <row r="202">
      <c r="A202" s="5" t="str">
        <f>Raw_Data!A202</f>
        <v>TRK100200</v>
      </c>
      <c r="B202" s="5" t="str">
        <f>TRIM(Raw_Data!B202)</f>
        <v>Delhivery</v>
      </c>
      <c r="C202" s="5" t="str">
        <f>TRIM(Raw_Data!C202)</f>
        <v>Tier 3</v>
      </c>
      <c r="D202" s="6">
        <f>DATEVALUE(TEXT(Raw_Data!D202, "YYYY-MM-DD"))</f>
        <v>46056</v>
      </c>
      <c r="E202" s="6">
        <f>IF(ISBLANK(Raw_Data!E202), "", DATEVALUE(TEXT(Raw_Data!E202, "YYYY-MM-DD")))</f>
        <v>46062</v>
      </c>
      <c r="F202" s="5">
        <f t="shared" si="1"/>
        <v>6</v>
      </c>
      <c r="G202" s="5">
        <f t="shared" si="2"/>
        <v>5</v>
      </c>
      <c r="H202" s="5" t="str">
        <f t="shared" si="3"/>
        <v>ON TIME</v>
      </c>
      <c r="I202" s="5">
        <f>Raw_Data!F202</f>
        <v>4811</v>
      </c>
      <c r="J202" s="5">
        <f t="shared" si="4"/>
        <v>0</v>
      </c>
    </row>
    <row r="203">
      <c r="A203" s="5" t="str">
        <f>Raw_Data!A203</f>
        <v>TRK100201</v>
      </c>
      <c r="B203" s="5" t="str">
        <f>TRIM(Raw_Data!B203)</f>
        <v>Delhivery</v>
      </c>
      <c r="C203" s="5" t="str">
        <f>TRIM(Raw_Data!C203)</f>
        <v>Tier 2</v>
      </c>
      <c r="D203" s="6">
        <f>DATEVALUE(TEXT(Raw_Data!D203, "YYYY-MM-DD"))</f>
        <v>46042</v>
      </c>
      <c r="E203" s="6">
        <f>IF(ISBLANK(Raw_Data!E203), "", DATEVALUE(TEXT(Raw_Data!E203, "YYYY-MM-DD")))</f>
        <v>46046</v>
      </c>
      <c r="F203" s="5">
        <f t="shared" si="1"/>
        <v>4</v>
      </c>
      <c r="G203" s="5">
        <f t="shared" si="2"/>
        <v>4</v>
      </c>
      <c r="H203" s="5" t="str">
        <f t="shared" si="3"/>
        <v>ON TIME</v>
      </c>
      <c r="I203" s="5">
        <f>Raw_Data!F203</f>
        <v>7814</v>
      </c>
      <c r="J203" s="5">
        <f t="shared" si="4"/>
        <v>0</v>
      </c>
    </row>
    <row r="204">
      <c r="A204" s="5" t="str">
        <f>Raw_Data!A204</f>
        <v>TRK100202</v>
      </c>
      <c r="B204" s="5" t="str">
        <f>TRIM(Raw_Data!B204)</f>
        <v>EcomExpress</v>
      </c>
      <c r="C204" s="5" t="str">
        <f>TRIM(Raw_Data!C204)</f>
        <v>Metro</v>
      </c>
      <c r="D204" s="6">
        <f>DATEVALUE(TEXT(Raw_Data!D204, "YYYY-MM-DD"))</f>
        <v>46033</v>
      </c>
      <c r="E204" s="6">
        <f>IF(ISBLANK(Raw_Data!E204), "", DATEVALUE(TEXT(Raw_Data!E204, "YYYY-MM-DD")))</f>
        <v>46035</v>
      </c>
      <c r="F204" s="5">
        <f t="shared" si="1"/>
        <v>2</v>
      </c>
      <c r="G204" s="5">
        <f t="shared" si="2"/>
        <v>2</v>
      </c>
      <c r="H204" s="5" t="str">
        <f t="shared" si="3"/>
        <v>ON TIME</v>
      </c>
      <c r="I204" s="5">
        <f>Raw_Data!F204</f>
        <v>2883</v>
      </c>
      <c r="J204" s="5">
        <f t="shared" si="4"/>
        <v>0</v>
      </c>
    </row>
    <row r="205">
      <c r="A205" s="5" t="str">
        <f>Raw_Data!A205</f>
        <v>TRK100203</v>
      </c>
      <c r="B205" s="5" t="str">
        <f>TRIM(Raw_Data!B205)</f>
        <v>Delhivery</v>
      </c>
      <c r="C205" s="5" t="str">
        <f>TRIM(Raw_Data!C205)</f>
        <v>Tier 2</v>
      </c>
      <c r="D205" s="6">
        <f>DATEVALUE(TEXT(Raw_Data!D205, "YYYY-MM-DD"))</f>
        <v>46082</v>
      </c>
      <c r="E205" s="6">
        <f>IF(ISBLANK(Raw_Data!E205), "", DATEVALUE(TEXT(Raw_Data!E205, "YYYY-MM-DD")))</f>
        <v>46088</v>
      </c>
      <c r="F205" s="5">
        <f t="shared" si="1"/>
        <v>4</v>
      </c>
      <c r="G205" s="5">
        <f t="shared" si="2"/>
        <v>5</v>
      </c>
      <c r="H205" s="5" t="str">
        <f t="shared" si="3"/>
        <v>SLA BREACH</v>
      </c>
      <c r="I205" s="5">
        <f>Raw_Data!F205</f>
        <v>3739</v>
      </c>
      <c r="J205" s="5">
        <f t="shared" si="4"/>
        <v>186.95</v>
      </c>
    </row>
    <row r="206">
      <c r="A206" s="5" t="str">
        <f>Raw_Data!A206</f>
        <v>TRK100204</v>
      </c>
      <c r="B206" s="5" t="str">
        <f>TRIM(Raw_Data!B206)</f>
        <v>Delhivery</v>
      </c>
      <c r="C206" s="5" t="str">
        <f>TRIM(Raw_Data!C206)</f>
        <v>Metro</v>
      </c>
      <c r="D206" s="6">
        <f>DATEVALUE(TEXT(Raw_Data!D206, "YYYY-MM-DD"))</f>
        <v>46037</v>
      </c>
      <c r="E206" s="6">
        <f>IF(ISBLANK(Raw_Data!E206), "", DATEVALUE(TEXT(Raw_Data!E206, "YYYY-MM-DD")))</f>
        <v>46039</v>
      </c>
      <c r="F206" s="5">
        <f t="shared" si="1"/>
        <v>2</v>
      </c>
      <c r="G206" s="5">
        <f t="shared" si="2"/>
        <v>2</v>
      </c>
      <c r="H206" s="5" t="str">
        <f t="shared" si="3"/>
        <v>ON TIME</v>
      </c>
      <c r="I206" s="5">
        <f>Raw_Data!F206</f>
        <v>2639</v>
      </c>
      <c r="J206" s="5">
        <f t="shared" si="4"/>
        <v>0</v>
      </c>
    </row>
    <row r="207">
      <c r="A207" s="5" t="str">
        <f>Raw_Data!A207</f>
        <v>TRK100205</v>
      </c>
      <c r="B207" s="5" t="str">
        <f>TRIM(Raw_Data!B207)</f>
        <v>EcomExpress</v>
      </c>
      <c r="C207" s="5" t="str">
        <f>TRIM(Raw_Data!C207)</f>
        <v>Tier 3</v>
      </c>
      <c r="D207" s="6">
        <f>DATEVALUE(TEXT(Raw_Data!D207, "YYYY-MM-DD"))</f>
        <v>46083</v>
      </c>
      <c r="E207" s="6">
        <f>IF(ISBLANK(Raw_Data!E207), "", DATEVALUE(TEXT(Raw_Data!E207, "YYYY-MM-DD")))</f>
        <v>46089</v>
      </c>
      <c r="F207" s="5">
        <f t="shared" si="1"/>
        <v>6</v>
      </c>
      <c r="G207" s="5">
        <f t="shared" si="2"/>
        <v>5</v>
      </c>
      <c r="H207" s="5" t="str">
        <f t="shared" si="3"/>
        <v>ON TIME</v>
      </c>
      <c r="I207" s="5">
        <f>Raw_Data!F207</f>
        <v>2204</v>
      </c>
      <c r="J207" s="5">
        <f t="shared" si="4"/>
        <v>0</v>
      </c>
    </row>
    <row r="208">
      <c r="A208" s="5" t="str">
        <f>Raw_Data!A208</f>
        <v>TRK100206</v>
      </c>
      <c r="B208" s="5" t="str">
        <f>TRIM(Raw_Data!B208)</f>
        <v>BlueDart</v>
      </c>
      <c r="C208" s="5" t="str">
        <f>TRIM(Raw_Data!C208)</f>
        <v>Tier 2</v>
      </c>
      <c r="D208" s="6">
        <f>DATEVALUE(TEXT(Raw_Data!D208, "YYYY-MM-DD"))</f>
        <v>46080</v>
      </c>
      <c r="E208" s="6">
        <f>IF(ISBLANK(Raw_Data!E208), "", DATEVALUE(TEXT(Raw_Data!E208, "YYYY-MM-DD")))</f>
        <v>46084</v>
      </c>
      <c r="F208" s="5">
        <f t="shared" si="1"/>
        <v>4</v>
      </c>
      <c r="G208" s="5">
        <f t="shared" si="2"/>
        <v>3</v>
      </c>
      <c r="H208" s="5" t="str">
        <f t="shared" si="3"/>
        <v>ON TIME</v>
      </c>
      <c r="I208" s="5">
        <f>Raw_Data!F208</f>
        <v>7424</v>
      </c>
      <c r="J208" s="5">
        <f t="shared" si="4"/>
        <v>0</v>
      </c>
    </row>
    <row r="209">
      <c r="A209" s="5" t="str">
        <f>Raw_Data!A209</f>
        <v>TRK100207</v>
      </c>
      <c r="B209" s="5" t="str">
        <f>TRIM(Raw_Data!B209)</f>
        <v>Delhivery</v>
      </c>
      <c r="C209" s="5" t="str">
        <f>TRIM(Raw_Data!C209)</f>
        <v>Metro</v>
      </c>
      <c r="D209" s="6">
        <f>DATEVALUE(TEXT(Raw_Data!D209, "YYYY-MM-DD"))</f>
        <v>46077</v>
      </c>
      <c r="E209" s="6">
        <f>IF(ISBLANK(Raw_Data!E209), "", DATEVALUE(TEXT(Raw_Data!E209, "YYYY-MM-DD")))</f>
        <v>46079</v>
      </c>
      <c r="F209" s="5">
        <f t="shared" si="1"/>
        <v>2</v>
      </c>
      <c r="G209" s="5">
        <f t="shared" si="2"/>
        <v>3</v>
      </c>
      <c r="H209" s="5" t="str">
        <f t="shared" si="3"/>
        <v>SLA BREACH</v>
      </c>
      <c r="I209" s="5">
        <f>Raw_Data!F209</f>
        <v>862</v>
      </c>
      <c r="J209" s="5">
        <f t="shared" si="4"/>
        <v>43.1</v>
      </c>
    </row>
    <row r="210">
      <c r="A210" s="5" t="str">
        <f>Raw_Data!A210</f>
        <v>TRK100208</v>
      </c>
      <c r="B210" s="5" t="str">
        <f>TRIM(Raw_Data!B210)</f>
        <v>EcomExpress</v>
      </c>
      <c r="C210" s="5" t="str">
        <f>TRIM(Raw_Data!C210)</f>
        <v>Tier 3</v>
      </c>
      <c r="D210" s="6">
        <f>DATEVALUE(TEXT(Raw_Data!D210, "YYYY-MM-DD"))</f>
        <v>46039</v>
      </c>
      <c r="E210" s="6">
        <f>IF(ISBLANK(Raw_Data!E210), "", DATEVALUE(TEXT(Raw_Data!E210, "YYYY-MM-DD")))</f>
        <v>46045</v>
      </c>
      <c r="F210" s="5">
        <f t="shared" si="1"/>
        <v>6</v>
      </c>
      <c r="G210" s="5">
        <f t="shared" si="2"/>
        <v>5</v>
      </c>
      <c r="H210" s="5" t="str">
        <f t="shared" si="3"/>
        <v>ON TIME</v>
      </c>
      <c r="I210" s="5">
        <f>Raw_Data!F210</f>
        <v>3104</v>
      </c>
      <c r="J210" s="5">
        <f t="shared" si="4"/>
        <v>0</v>
      </c>
    </row>
    <row r="211">
      <c r="A211" s="5" t="str">
        <f>Raw_Data!A211</f>
        <v>TRK100209</v>
      </c>
      <c r="B211" s="5" t="str">
        <f>TRIM(Raw_Data!B211)</f>
        <v>Delhivery</v>
      </c>
      <c r="C211" s="5" t="str">
        <f>TRIM(Raw_Data!C211)</f>
        <v>Metro</v>
      </c>
      <c r="D211" s="6">
        <f>DATEVALUE(TEXT(Raw_Data!D211, "YYYY-MM-DD"))</f>
        <v>46063</v>
      </c>
      <c r="E211" s="6">
        <f>IF(ISBLANK(Raw_Data!E211), "", DATEVALUE(TEXT(Raw_Data!E211, "YYYY-MM-DD")))</f>
        <v>46065</v>
      </c>
      <c r="F211" s="5">
        <f t="shared" si="1"/>
        <v>2</v>
      </c>
      <c r="G211" s="5">
        <f t="shared" si="2"/>
        <v>3</v>
      </c>
      <c r="H211" s="5" t="str">
        <f t="shared" si="3"/>
        <v>SLA BREACH</v>
      </c>
      <c r="I211" s="5">
        <f>Raw_Data!F211</f>
        <v>10408</v>
      </c>
      <c r="J211" s="5">
        <f t="shared" si="4"/>
        <v>520.4</v>
      </c>
    </row>
    <row r="212">
      <c r="A212" s="5" t="str">
        <f>Raw_Data!A212</f>
        <v>TRK100210</v>
      </c>
      <c r="B212" s="5" t="str">
        <f>TRIM(Raw_Data!B212)</f>
        <v>Delhivery</v>
      </c>
      <c r="C212" s="5" t="str">
        <f>TRIM(Raw_Data!C212)</f>
        <v>Tier 2</v>
      </c>
      <c r="D212" s="6">
        <f>DATEVALUE(TEXT(Raw_Data!D212, "YYYY-MM-DD"))</f>
        <v>46040</v>
      </c>
      <c r="E212" s="6">
        <f>IF(ISBLANK(Raw_Data!E212), "", DATEVALUE(TEXT(Raw_Data!E212, "YYYY-MM-DD")))</f>
        <v>46044</v>
      </c>
      <c r="F212" s="5">
        <f t="shared" si="1"/>
        <v>4</v>
      </c>
      <c r="G212" s="5">
        <f t="shared" si="2"/>
        <v>4</v>
      </c>
      <c r="H212" s="5" t="str">
        <f t="shared" si="3"/>
        <v>ON TIME</v>
      </c>
      <c r="I212" s="5">
        <f>Raw_Data!F212</f>
        <v>4786</v>
      </c>
      <c r="J212" s="5">
        <f t="shared" si="4"/>
        <v>0</v>
      </c>
    </row>
    <row r="213">
      <c r="A213" s="5" t="str">
        <f>Raw_Data!A213</f>
        <v>TRK100211</v>
      </c>
      <c r="B213" s="5" t="str">
        <f>TRIM(Raw_Data!B213)</f>
        <v>EcomExpress</v>
      </c>
      <c r="C213" s="5" t="str">
        <f>TRIM(Raw_Data!C213)</f>
        <v>Tier 3</v>
      </c>
      <c r="D213" s="6">
        <f>DATEVALUE(TEXT(Raw_Data!D213, "YYYY-MM-DD"))</f>
        <v>46063</v>
      </c>
      <c r="E213" s="6">
        <f>IF(ISBLANK(Raw_Data!E213), "", DATEVALUE(TEXT(Raw_Data!E213, "YYYY-MM-DD")))</f>
        <v>46069</v>
      </c>
      <c r="F213" s="5">
        <f t="shared" si="1"/>
        <v>6</v>
      </c>
      <c r="G213" s="5">
        <f t="shared" si="2"/>
        <v>5</v>
      </c>
      <c r="H213" s="5" t="str">
        <f t="shared" si="3"/>
        <v>ON TIME</v>
      </c>
      <c r="I213" s="5">
        <f>Raw_Data!F213</f>
        <v>4238</v>
      </c>
      <c r="J213" s="5">
        <f t="shared" si="4"/>
        <v>0</v>
      </c>
    </row>
    <row r="214">
      <c r="A214" s="5" t="str">
        <f>Raw_Data!A214</f>
        <v>TRK100212</v>
      </c>
      <c r="B214" s="5" t="str">
        <f>TRIM(Raw_Data!B214)</f>
        <v>BlueDart</v>
      </c>
      <c r="C214" s="5" t="str">
        <f>TRIM(Raw_Data!C214)</f>
        <v>Metro</v>
      </c>
      <c r="D214" s="6">
        <f>DATEVALUE(TEXT(Raw_Data!D214, "YYYY-MM-DD"))</f>
        <v>46062</v>
      </c>
      <c r="E214" s="6">
        <f>IF(ISBLANK(Raw_Data!E214), "", DATEVALUE(TEXT(Raw_Data!E214, "YYYY-MM-DD")))</f>
        <v>46064</v>
      </c>
      <c r="F214" s="5">
        <f t="shared" si="1"/>
        <v>2</v>
      </c>
      <c r="G214" s="5">
        <f t="shared" si="2"/>
        <v>3</v>
      </c>
      <c r="H214" s="5" t="str">
        <f t="shared" si="3"/>
        <v>SLA BREACH</v>
      </c>
      <c r="I214" s="5">
        <f>Raw_Data!F214</f>
        <v>2969</v>
      </c>
      <c r="J214" s="5">
        <f t="shared" si="4"/>
        <v>148.45</v>
      </c>
    </row>
    <row r="215">
      <c r="A215" s="5" t="str">
        <f>Raw_Data!A215</f>
        <v>TRK100213</v>
      </c>
      <c r="B215" s="5" t="str">
        <f>TRIM(Raw_Data!B215)</f>
        <v>EcomExpress</v>
      </c>
      <c r="C215" s="5" t="str">
        <f>TRIM(Raw_Data!C215)</f>
        <v>Metro</v>
      </c>
      <c r="D215" s="6">
        <f>DATEVALUE(TEXT(Raw_Data!D215, "YYYY-MM-DD"))</f>
        <v>46028</v>
      </c>
      <c r="E215" s="6">
        <f>IF(ISBLANK(Raw_Data!E215), "", DATEVALUE(TEXT(Raw_Data!E215, "YYYY-MM-DD")))</f>
        <v>46030</v>
      </c>
      <c r="F215" s="5">
        <f t="shared" si="1"/>
        <v>2</v>
      </c>
      <c r="G215" s="5">
        <f t="shared" si="2"/>
        <v>3</v>
      </c>
      <c r="H215" s="5" t="str">
        <f t="shared" si="3"/>
        <v>SLA BREACH</v>
      </c>
      <c r="I215" s="5">
        <f>Raw_Data!F215</f>
        <v>5295</v>
      </c>
      <c r="J215" s="5">
        <f t="shared" si="4"/>
        <v>264.75</v>
      </c>
    </row>
    <row r="216">
      <c r="A216" s="5" t="str">
        <f>Raw_Data!A216</f>
        <v>TRK100214</v>
      </c>
      <c r="B216" s="5" t="str">
        <f>TRIM(Raw_Data!B216)</f>
        <v>Delhivery</v>
      </c>
      <c r="C216" s="5" t="str">
        <f>TRIM(Raw_Data!C216)</f>
        <v>Tier 2</v>
      </c>
      <c r="D216" s="6">
        <f>DATEVALUE(TEXT(Raw_Data!D216, "YYYY-MM-DD"))</f>
        <v>46064</v>
      </c>
      <c r="E216" s="6">
        <f>IF(ISBLANK(Raw_Data!E216), "", DATEVALUE(TEXT(Raw_Data!E216, "YYYY-MM-DD")))</f>
        <v>46069</v>
      </c>
      <c r="F216" s="5">
        <f t="shared" si="1"/>
        <v>4</v>
      </c>
      <c r="G216" s="5">
        <f t="shared" si="2"/>
        <v>4</v>
      </c>
      <c r="H216" s="5" t="str">
        <f t="shared" si="3"/>
        <v>ON TIME</v>
      </c>
      <c r="I216" s="5">
        <f>Raw_Data!F216</f>
        <v>6650</v>
      </c>
      <c r="J216" s="5">
        <f t="shared" si="4"/>
        <v>0</v>
      </c>
    </row>
    <row r="217">
      <c r="A217" s="5" t="str">
        <f>Raw_Data!A217</f>
        <v>TRK100215</v>
      </c>
      <c r="B217" s="5" t="str">
        <f>TRIM(Raw_Data!B217)</f>
        <v>BlueDart</v>
      </c>
      <c r="C217" s="5" t="str">
        <f>TRIM(Raw_Data!C217)</f>
        <v>Tier 2</v>
      </c>
      <c r="D217" s="6">
        <f>DATEVALUE(TEXT(Raw_Data!D217, "YYYY-MM-DD"))</f>
        <v>46060</v>
      </c>
      <c r="E217" s="6">
        <f>IF(ISBLANK(Raw_Data!E217), "", DATEVALUE(TEXT(Raw_Data!E217, "YYYY-MM-DD")))</f>
        <v>46064</v>
      </c>
      <c r="F217" s="5">
        <f t="shared" si="1"/>
        <v>4</v>
      </c>
      <c r="G217" s="5">
        <f t="shared" si="2"/>
        <v>3</v>
      </c>
      <c r="H217" s="5" t="str">
        <f t="shared" si="3"/>
        <v>ON TIME</v>
      </c>
      <c r="I217" s="5">
        <f>Raw_Data!F217</f>
        <v>1056</v>
      </c>
      <c r="J217" s="5">
        <f t="shared" si="4"/>
        <v>0</v>
      </c>
    </row>
    <row r="218">
      <c r="A218" s="5" t="str">
        <f>Raw_Data!A218</f>
        <v>TRK100216</v>
      </c>
      <c r="B218" s="5" t="str">
        <f>TRIM(Raw_Data!B218)</f>
        <v>EcomExpress</v>
      </c>
      <c r="C218" s="5" t="str">
        <f>TRIM(Raw_Data!C218)</f>
        <v>Tier 2</v>
      </c>
      <c r="D218" s="6">
        <f>DATEVALUE(TEXT(Raw_Data!D218, "YYYY-MM-DD"))</f>
        <v>46032</v>
      </c>
      <c r="E218" s="6">
        <f>IF(ISBLANK(Raw_Data!E218), "", DATEVALUE(TEXT(Raw_Data!E218, "YYYY-MM-DD")))</f>
        <v>46036</v>
      </c>
      <c r="F218" s="5">
        <f t="shared" si="1"/>
        <v>4</v>
      </c>
      <c r="G218" s="5">
        <f t="shared" si="2"/>
        <v>3</v>
      </c>
      <c r="H218" s="5" t="str">
        <f t="shared" si="3"/>
        <v>ON TIME</v>
      </c>
      <c r="I218" s="5">
        <f>Raw_Data!F218</f>
        <v>9517</v>
      </c>
      <c r="J218" s="5">
        <f t="shared" si="4"/>
        <v>0</v>
      </c>
    </row>
    <row r="219">
      <c r="A219" s="5" t="str">
        <f>Raw_Data!A219</f>
        <v>TRK100217</v>
      </c>
      <c r="B219" s="5" t="str">
        <f>TRIM(Raw_Data!B219)</f>
        <v>EcomExpress</v>
      </c>
      <c r="C219" s="5" t="str">
        <f>TRIM(Raw_Data!C219)</f>
        <v>Tier 3</v>
      </c>
      <c r="D219" s="6">
        <f>DATEVALUE(TEXT(Raw_Data!D219, "YYYY-MM-DD"))</f>
        <v>46065</v>
      </c>
      <c r="E219" s="6">
        <f>IF(ISBLANK(Raw_Data!E219), "", DATEVALUE(TEXT(Raw_Data!E219, "YYYY-MM-DD")))</f>
        <v>46072</v>
      </c>
      <c r="F219" s="5">
        <f t="shared" si="1"/>
        <v>6</v>
      </c>
      <c r="G219" s="5">
        <f t="shared" si="2"/>
        <v>6</v>
      </c>
      <c r="H219" s="5" t="str">
        <f t="shared" si="3"/>
        <v>ON TIME</v>
      </c>
      <c r="I219" s="5">
        <f>Raw_Data!F219</f>
        <v>3308</v>
      </c>
      <c r="J219" s="5">
        <f t="shared" si="4"/>
        <v>0</v>
      </c>
    </row>
    <row r="220">
      <c r="A220" s="5" t="str">
        <f>Raw_Data!A220</f>
        <v>TRK100218</v>
      </c>
      <c r="B220" s="5" t="str">
        <f>TRIM(Raw_Data!B220)</f>
        <v>BlueDart</v>
      </c>
      <c r="C220" s="5" t="str">
        <f>TRIM(Raw_Data!C220)</f>
        <v>Tier 3</v>
      </c>
      <c r="D220" s="6">
        <f>DATEVALUE(TEXT(Raw_Data!D220, "YYYY-MM-DD"))</f>
        <v>46069</v>
      </c>
      <c r="E220" s="6">
        <f>IF(ISBLANK(Raw_Data!E220), "", DATEVALUE(TEXT(Raw_Data!E220, "YYYY-MM-DD")))</f>
        <v>46075</v>
      </c>
      <c r="F220" s="5">
        <f t="shared" si="1"/>
        <v>6</v>
      </c>
      <c r="G220" s="5">
        <f t="shared" si="2"/>
        <v>5</v>
      </c>
      <c r="H220" s="5" t="str">
        <f t="shared" si="3"/>
        <v>ON TIME</v>
      </c>
      <c r="I220" s="5">
        <f>Raw_Data!F220</f>
        <v>5650</v>
      </c>
      <c r="J220" s="5">
        <f t="shared" si="4"/>
        <v>0</v>
      </c>
    </row>
    <row r="221">
      <c r="A221" s="5" t="str">
        <f>Raw_Data!A221</f>
        <v>TRK100219</v>
      </c>
      <c r="B221" s="5" t="str">
        <f>TRIM(Raw_Data!B221)</f>
        <v>Delhivery</v>
      </c>
      <c r="C221" s="5" t="str">
        <f>TRIM(Raw_Data!C221)</f>
        <v>Tier 2</v>
      </c>
      <c r="D221" s="6">
        <f>DATEVALUE(TEXT(Raw_Data!D221, "YYYY-MM-DD"))</f>
        <v>46044</v>
      </c>
      <c r="E221" s="6">
        <f>IF(ISBLANK(Raw_Data!E221), "", DATEVALUE(TEXT(Raw_Data!E221, "YYYY-MM-DD")))</f>
        <v>46050</v>
      </c>
      <c r="F221" s="5">
        <f t="shared" si="1"/>
        <v>4</v>
      </c>
      <c r="G221" s="5">
        <f t="shared" si="2"/>
        <v>5</v>
      </c>
      <c r="H221" s="5" t="str">
        <f t="shared" si="3"/>
        <v>SLA BREACH</v>
      </c>
      <c r="I221" s="5">
        <f>Raw_Data!F221</f>
        <v>8061</v>
      </c>
      <c r="J221" s="5">
        <f t="shared" si="4"/>
        <v>403.05</v>
      </c>
    </row>
    <row r="222">
      <c r="A222" s="5" t="str">
        <f>Raw_Data!A222</f>
        <v>TRK100220</v>
      </c>
      <c r="B222" s="5" t="str">
        <f>TRIM(Raw_Data!B222)</f>
        <v>EcomExpress</v>
      </c>
      <c r="C222" s="5" t="str">
        <f>TRIM(Raw_Data!C222)</f>
        <v>Tier 3</v>
      </c>
      <c r="D222" s="6">
        <f>DATEVALUE(TEXT(Raw_Data!D222, "YYYY-MM-DD"))</f>
        <v>46025</v>
      </c>
      <c r="E222" s="6">
        <f>IF(ISBLANK(Raw_Data!E222), "", DATEVALUE(TEXT(Raw_Data!E222, "YYYY-MM-DD")))</f>
        <v>46031</v>
      </c>
      <c r="F222" s="5">
        <f t="shared" si="1"/>
        <v>6</v>
      </c>
      <c r="G222" s="5">
        <f t="shared" si="2"/>
        <v>5</v>
      </c>
      <c r="H222" s="5" t="str">
        <f t="shared" si="3"/>
        <v>ON TIME</v>
      </c>
      <c r="I222" s="5">
        <f>Raw_Data!F222</f>
        <v>3219</v>
      </c>
      <c r="J222" s="5">
        <f t="shared" si="4"/>
        <v>0</v>
      </c>
    </row>
    <row r="223">
      <c r="A223" s="5" t="str">
        <f>Raw_Data!A223</f>
        <v>TRK100221</v>
      </c>
      <c r="B223" s="5" t="str">
        <f>TRIM(Raw_Data!B223)</f>
        <v>EcomExpress</v>
      </c>
      <c r="C223" s="5" t="str">
        <f>TRIM(Raw_Data!C223)</f>
        <v>Metro</v>
      </c>
      <c r="D223" s="6">
        <f>DATEVALUE(TEXT(Raw_Data!D223, "YYYY-MM-DD"))</f>
        <v>46028</v>
      </c>
      <c r="E223" s="6">
        <f>IF(ISBLANK(Raw_Data!E223), "", DATEVALUE(TEXT(Raw_Data!E223, "YYYY-MM-DD")))</f>
        <v>46030</v>
      </c>
      <c r="F223" s="5">
        <f t="shared" si="1"/>
        <v>2</v>
      </c>
      <c r="G223" s="5">
        <f t="shared" si="2"/>
        <v>3</v>
      </c>
      <c r="H223" s="5" t="str">
        <f t="shared" si="3"/>
        <v>SLA BREACH</v>
      </c>
      <c r="I223" s="5">
        <f>Raw_Data!F223</f>
        <v>7006</v>
      </c>
      <c r="J223" s="5">
        <f t="shared" si="4"/>
        <v>350.3</v>
      </c>
    </row>
    <row r="224">
      <c r="A224" s="5" t="str">
        <f>Raw_Data!A224</f>
        <v>TRK100222</v>
      </c>
      <c r="B224" s="5" t="str">
        <f>TRIM(Raw_Data!B224)</f>
        <v>EcomExpress</v>
      </c>
      <c r="C224" s="5" t="str">
        <f>TRIM(Raw_Data!C224)</f>
        <v>Tier 2</v>
      </c>
      <c r="D224" s="6">
        <f>DATEVALUE(TEXT(Raw_Data!D224, "YYYY-MM-DD"))</f>
        <v>46083</v>
      </c>
      <c r="E224" s="6">
        <f>IF(ISBLANK(Raw_Data!E224), "", DATEVALUE(TEXT(Raw_Data!E224, "YYYY-MM-DD")))</f>
        <v>46087</v>
      </c>
      <c r="F224" s="5">
        <f t="shared" si="1"/>
        <v>4</v>
      </c>
      <c r="G224" s="5">
        <f t="shared" si="2"/>
        <v>5</v>
      </c>
      <c r="H224" s="5" t="str">
        <f t="shared" si="3"/>
        <v>SLA BREACH</v>
      </c>
      <c r="I224" s="5">
        <f>Raw_Data!F224</f>
        <v>4241</v>
      </c>
      <c r="J224" s="5">
        <f t="shared" si="4"/>
        <v>212.05</v>
      </c>
    </row>
    <row r="225">
      <c r="A225" s="5" t="str">
        <f>Raw_Data!A225</f>
        <v>TRK100223</v>
      </c>
      <c r="B225" s="5" t="str">
        <f>TRIM(Raw_Data!B225)</f>
        <v>Delhivery</v>
      </c>
      <c r="C225" s="5" t="str">
        <f>TRIM(Raw_Data!C225)</f>
        <v>Tier 3</v>
      </c>
      <c r="D225" s="6">
        <f>DATEVALUE(TEXT(Raw_Data!D225, "YYYY-MM-DD"))</f>
        <v>46072</v>
      </c>
      <c r="E225" s="6">
        <f>IF(ISBLANK(Raw_Data!E225), "", DATEVALUE(TEXT(Raw_Data!E225, "YYYY-MM-DD")))</f>
        <v>46078</v>
      </c>
      <c r="F225" s="5">
        <f t="shared" si="1"/>
        <v>6</v>
      </c>
      <c r="G225" s="5">
        <f t="shared" si="2"/>
        <v>5</v>
      </c>
      <c r="H225" s="5" t="str">
        <f t="shared" si="3"/>
        <v>ON TIME</v>
      </c>
      <c r="I225" s="5">
        <f>Raw_Data!F225</f>
        <v>10266</v>
      </c>
      <c r="J225" s="5">
        <f t="shared" si="4"/>
        <v>0</v>
      </c>
    </row>
    <row r="226">
      <c r="A226" s="5" t="str">
        <f>Raw_Data!A226</f>
        <v>TRK100224</v>
      </c>
      <c r="B226" s="5" t="str">
        <f>TRIM(Raw_Data!B226)</f>
        <v>EcomExpress</v>
      </c>
      <c r="C226" s="5" t="str">
        <f>TRIM(Raw_Data!C226)</f>
        <v>Tier 3</v>
      </c>
      <c r="D226" s="6">
        <f>DATEVALUE(TEXT(Raw_Data!D226, "YYYY-MM-DD"))</f>
        <v>46039</v>
      </c>
      <c r="E226" s="6">
        <f>IF(ISBLANK(Raw_Data!E226), "", DATEVALUE(TEXT(Raw_Data!E226, "YYYY-MM-DD")))</f>
        <v>46045</v>
      </c>
      <c r="F226" s="5">
        <f t="shared" si="1"/>
        <v>6</v>
      </c>
      <c r="G226" s="5">
        <f t="shared" si="2"/>
        <v>5</v>
      </c>
      <c r="H226" s="5" t="str">
        <f t="shared" si="3"/>
        <v>ON TIME</v>
      </c>
      <c r="I226" s="5">
        <f>Raw_Data!F226</f>
        <v>4498</v>
      </c>
      <c r="J226" s="5">
        <f t="shared" si="4"/>
        <v>0</v>
      </c>
    </row>
    <row r="227">
      <c r="A227" s="5" t="str">
        <f>Raw_Data!A227</f>
        <v>TRK100225</v>
      </c>
      <c r="B227" s="5" t="str">
        <f>TRIM(Raw_Data!B227)</f>
        <v>BlueDart</v>
      </c>
      <c r="C227" s="5" t="str">
        <f>TRIM(Raw_Data!C227)</f>
        <v>Tier 2</v>
      </c>
      <c r="D227" s="6">
        <f>DATEVALUE(TEXT(Raw_Data!D227, "YYYY-MM-DD"))</f>
        <v>46036</v>
      </c>
      <c r="E227" s="6">
        <f>IF(ISBLANK(Raw_Data!E227), "", DATEVALUE(TEXT(Raw_Data!E227, "YYYY-MM-DD")))</f>
        <v>46040</v>
      </c>
      <c r="F227" s="5">
        <f t="shared" si="1"/>
        <v>4</v>
      </c>
      <c r="G227" s="5">
        <f t="shared" si="2"/>
        <v>3</v>
      </c>
      <c r="H227" s="5" t="str">
        <f t="shared" si="3"/>
        <v>ON TIME</v>
      </c>
      <c r="I227" s="5">
        <f>Raw_Data!F227</f>
        <v>10821</v>
      </c>
      <c r="J227" s="5">
        <f t="shared" si="4"/>
        <v>0</v>
      </c>
    </row>
    <row r="228">
      <c r="A228" s="5" t="str">
        <f>Raw_Data!A228</f>
        <v>TRK100226</v>
      </c>
      <c r="B228" s="5" t="str">
        <f>TRIM(Raw_Data!B228)</f>
        <v>BlueDart</v>
      </c>
      <c r="C228" s="5" t="str">
        <f>TRIM(Raw_Data!C228)</f>
        <v>Tier 2</v>
      </c>
      <c r="D228" s="6">
        <f>DATEVALUE(TEXT(Raw_Data!D228, "YYYY-MM-DD"))</f>
        <v>46059</v>
      </c>
      <c r="E228" s="6">
        <f>IF(ISBLANK(Raw_Data!E228), "", DATEVALUE(TEXT(Raw_Data!E228, "YYYY-MM-DD")))</f>
        <v>46068</v>
      </c>
      <c r="F228" s="5">
        <f t="shared" si="1"/>
        <v>4</v>
      </c>
      <c r="G228" s="5">
        <f t="shared" si="2"/>
        <v>6</v>
      </c>
      <c r="H228" s="5" t="str">
        <f t="shared" si="3"/>
        <v>SLA BREACH</v>
      </c>
      <c r="I228" s="5">
        <f>Raw_Data!F228</f>
        <v>2903</v>
      </c>
      <c r="J228" s="5">
        <f t="shared" si="4"/>
        <v>145.15</v>
      </c>
    </row>
    <row r="229">
      <c r="A229" s="5" t="str">
        <f>Raw_Data!A229</f>
        <v>TRK100227</v>
      </c>
      <c r="B229" s="5" t="str">
        <f>TRIM(Raw_Data!B229)</f>
        <v>EcomExpress</v>
      </c>
      <c r="C229" s="5" t="str">
        <f>TRIM(Raw_Data!C229)</f>
        <v>Tier 3</v>
      </c>
      <c r="D229" s="6">
        <f>DATEVALUE(TEXT(Raw_Data!D229, "YYYY-MM-DD"))</f>
        <v>46062</v>
      </c>
      <c r="E229" s="6">
        <f>IF(ISBLANK(Raw_Data!E229), "", DATEVALUE(TEXT(Raw_Data!E229, "YYYY-MM-DD")))</f>
        <v>46068</v>
      </c>
      <c r="F229" s="5">
        <f t="shared" si="1"/>
        <v>6</v>
      </c>
      <c r="G229" s="5">
        <f t="shared" si="2"/>
        <v>5</v>
      </c>
      <c r="H229" s="5" t="str">
        <f t="shared" si="3"/>
        <v>ON TIME</v>
      </c>
      <c r="I229" s="5">
        <f>Raw_Data!F229</f>
        <v>9280</v>
      </c>
      <c r="J229" s="5">
        <f t="shared" si="4"/>
        <v>0</v>
      </c>
    </row>
    <row r="230">
      <c r="A230" s="5" t="str">
        <f>Raw_Data!A230</f>
        <v>TRK100228</v>
      </c>
      <c r="B230" s="5" t="str">
        <f>TRIM(Raw_Data!B230)</f>
        <v>EcomExpress</v>
      </c>
      <c r="C230" s="5" t="str">
        <f>TRIM(Raw_Data!C230)</f>
        <v>Tier 3</v>
      </c>
      <c r="D230" s="6">
        <f>DATEVALUE(TEXT(Raw_Data!D230, "YYYY-MM-DD"))</f>
        <v>46024</v>
      </c>
      <c r="E230" s="6">
        <f>IF(ISBLANK(Raw_Data!E230), "", DATEVALUE(TEXT(Raw_Data!E230, "YYYY-MM-DD")))</f>
        <v>46032</v>
      </c>
      <c r="F230" s="5">
        <f t="shared" si="1"/>
        <v>6</v>
      </c>
      <c r="G230" s="5">
        <f t="shared" si="2"/>
        <v>6</v>
      </c>
      <c r="H230" s="5" t="str">
        <f t="shared" si="3"/>
        <v>ON TIME</v>
      </c>
      <c r="I230" s="5">
        <f>Raw_Data!F230</f>
        <v>10704</v>
      </c>
      <c r="J230" s="5">
        <f t="shared" si="4"/>
        <v>0</v>
      </c>
    </row>
    <row r="231">
      <c r="A231" s="5" t="str">
        <f>Raw_Data!A231</f>
        <v>TRK100229</v>
      </c>
      <c r="B231" s="5" t="str">
        <f>TRIM(Raw_Data!B231)</f>
        <v>BlueDart</v>
      </c>
      <c r="C231" s="5" t="str">
        <f>TRIM(Raw_Data!C231)</f>
        <v>Tier 2</v>
      </c>
      <c r="D231" s="6">
        <f>DATEVALUE(TEXT(Raw_Data!D231, "YYYY-MM-DD"))</f>
        <v>46079</v>
      </c>
      <c r="E231" s="6">
        <f>IF(ISBLANK(Raw_Data!E231), "", DATEVALUE(TEXT(Raw_Data!E231, "YYYY-MM-DD")))</f>
        <v>46083</v>
      </c>
      <c r="F231" s="5">
        <f t="shared" si="1"/>
        <v>4</v>
      </c>
      <c r="G231" s="5">
        <f t="shared" si="2"/>
        <v>3</v>
      </c>
      <c r="H231" s="5" t="str">
        <f t="shared" si="3"/>
        <v>ON TIME</v>
      </c>
      <c r="I231" s="5">
        <f>Raw_Data!F231</f>
        <v>10239</v>
      </c>
      <c r="J231" s="5">
        <f t="shared" si="4"/>
        <v>0</v>
      </c>
    </row>
    <row r="232">
      <c r="A232" s="5" t="str">
        <f>Raw_Data!A232</f>
        <v>TRK100230</v>
      </c>
      <c r="B232" s="5" t="str">
        <f>TRIM(Raw_Data!B232)</f>
        <v>BlueDart</v>
      </c>
      <c r="C232" s="5" t="str">
        <f>TRIM(Raw_Data!C232)</f>
        <v>Tier 3</v>
      </c>
      <c r="D232" s="6">
        <f>DATEVALUE(TEXT(Raw_Data!D232, "YYYY-MM-DD"))</f>
        <v>46057</v>
      </c>
      <c r="E232" s="6">
        <f>IF(ISBLANK(Raw_Data!E232), "", DATEVALUE(TEXT(Raw_Data!E232, "YYYY-MM-DD")))</f>
        <v>46064</v>
      </c>
      <c r="F232" s="5">
        <f t="shared" si="1"/>
        <v>6</v>
      </c>
      <c r="G232" s="5">
        <f t="shared" si="2"/>
        <v>6</v>
      </c>
      <c r="H232" s="5" t="str">
        <f t="shared" si="3"/>
        <v>ON TIME</v>
      </c>
      <c r="I232" s="5">
        <f>Raw_Data!F232</f>
        <v>794</v>
      </c>
      <c r="J232" s="5">
        <f t="shared" si="4"/>
        <v>0</v>
      </c>
    </row>
    <row r="233">
      <c r="A233" s="5" t="str">
        <f>Raw_Data!A233</f>
        <v>TRK100231</v>
      </c>
      <c r="B233" s="5" t="str">
        <f>TRIM(Raw_Data!B233)</f>
        <v>EcomExpress</v>
      </c>
      <c r="C233" s="5" t="str">
        <f>TRIM(Raw_Data!C233)</f>
        <v>Metro</v>
      </c>
      <c r="D233" s="6">
        <f>DATEVALUE(TEXT(Raw_Data!D233, "YYYY-MM-DD"))</f>
        <v>46064</v>
      </c>
      <c r="E233" s="6">
        <f>IF(ISBLANK(Raw_Data!E233), "", DATEVALUE(TEXT(Raw_Data!E233, "YYYY-MM-DD")))</f>
        <v>46066</v>
      </c>
      <c r="F233" s="5">
        <f t="shared" si="1"/>
        <v>2</v>
      </c>
      <c r="G233" s="5">
        <f t="shared" si="2"/>
        <v>3</v>
      </c>
      <c r="H233" s="5" t="str">
        <f t="shared" si="3"/>
        <v>SLA BREACH</v>
      </c>
      <c r="I233" s="5">
        <f>Raw_Data!F233</f>
        <v>10677</v>
      </c>
      <c r="J233" s="5">
        <f t="shared" si="4"/>
        <v>533.85</v>
      </c>
    </row>
    <row r="234">
      <c r="A234" s="5" t="str">
        <f>Raw_Data!A234</f>
        <v>TRK100232</v>
      </c>
      <c r="B234" s="5" t="str">
        <f>TRIM(Raw_Data!B234)</f>
        <v>BlueDart</v>
      </c>
      <c r="C234" s="5" t="str">
        <f>TRIM(Raw_Data!C234)</f>
        <v>Tier 3</v>
      </c>
      <c r="D234" s="6">
        <f>DATEVALUE(TEXT(Raw_Data!D234, "YYYY-MM-DD"))</f>
        <v>46053</v>
      </c>
      <c r="E234" s="6">
        <f>IF(ISBLANK(Raw_Data!E234), "", DATEVALUE(TEXT(Raw_Data!E234, "YYYY-MM-DD")))</f>
        <v>46059</v>
      </c>
      <c r="F234" s="5">
        <f t="shared" si="1"/>
        <v>6</v>
      </c>
      <c r="G234" s="5">
        <f t="shared" si="2"/>
        <v>5</v>
      </c>
      <c r="H234" s="5" t="str">
        <f t="shared" si="3"/>
        <v>ON TIME</v>
      </c>
      <c r="I234" s="5">
        <f>Raw_Data!F234</f>
        <v>5843</v>
      </c>
      <c r="J234" s="5">
        <f t="shared" si="4"/>
        <v>0</v>
      </c>
    </row>
    <row r="235">
      <c r="A235" s="5" t="str">
        <f>Raw_Data!A235</f>
        <v>TRK100233</v>
      </c>
      <c r="B235" s="5" t="str">
        <f>TRIM(Raw_Data!B235)</f>
        <v>Delhivery</v>
      </c>
      <c r="C235" s="5" t="str">
        <f>TRIM(Raw_Data!C235)</f>
        <v>Metro</v>
      </c>
      <c r="D235" s="6">
        <f>DATEVALUE(TEXT(Raw_Data!D235, "YYYY-MM-DD"))</f>
        <v>46074</v>
      </c>
      <c r="E235" s="6">
        <f>IF(ISBLANK(Raw_Data!E235), "", DATEVALUE(TEXT(Raw_Data!E235, "YYYY-MM-DD")))</f>
        <v>46076</v>
      </c>
      <c r="F235" s="5">
        <f t="shared" si="1"/>
        <v>2</v>
      </c>
      <c r="G235" s="5">
        <f t="shared" si="2"/>
        <v>1</v>
      </c>
      <c r="H235" s="5" t="str">
        <f t="shared" si="3"/>
        <v>ON TIME</v>
      </c>
      <c r="I235" s="5">
        <f>Raw_Data!F235</f>
        <v>11809</v>
      </c>
      <c r="J235" s="5">
        <f t="shared" si="4"/>
        <v>0</v>
      </c>
    </row>
    <row r="236">
      <c r="A236" s="5" t="str">
        <f>Raw_Data!A236</f>
        <v>TRK100234</v>
      </c>
      <c r="B236" s="5" t="str">
        <f>TRIM(Raw_Data!B236)</f>
        <v>Delhivery</v>
      </c>
      <c r="C236" s="5" t="str">
        <f>TRIM(Raw_Data!C236)</f>
        <v>Metro</v>
      </c>
      <c r="D236" s="6">
        <f>DATEVALUE(TEXT(Raw_Data!D236, "YYYY-MM-DD"))</f>
        <v>46066</v>
      </c>
      <c r="E236" s="6">
        <f>IF(ISBLANK(Raw_Data!E236), "", DATEVALUE(TEXT(Raw_Data!E236, "YYYY-MM-DD")))</f>
        <v>46068</v>
      </c>
      <c r="F236" s="5">
        <f t="shared" si="1"/>
        <v>2</v>
      </c>
      <c r="G236" s="5">
        <f t="shared" si="2"/>
        <v>1</v>
      </c>
      <c r="H236" s="5" t="str">
        <f t="shared" si="3"/>
        <v>ON TIME</v>
      </c>
      <c r="I236" s="5">
        <f>Raw_Data!F236</f>
        <v>10382</v>
      </c>
      <c r="J236" s="5">
        <f t="shared" si="4"/>
        <v>0</v>
      </c>
    </row>
    <row r="237">
      <c r="A237" s="5" t="str">
        <f>Raw_Data!A237</f>
        <v>TRK100235</v>
      </c>
      <c r="B237" s="5" t="str">
        <f>TRIM(Raw_Data!B237)</f>
        <v>Delhivery</v>
      </c>
      <c r="C237" s="5" t="str">
        <f>TRIM(Raw_Data!C237)</f>
        <v>Tier 3</v>
      </c>
      <c r="D237" s="6">
        <f>DATEVALUE(TEXT(Raw_Data!D237, "YYYY-MM-DD"))</f>
        <v>46042</v>
      </c>
      <c r="E237" s="6">
        <f>IF(ISBLANK(Raw_Data!E237), "", DATEVALUE(TEXT(Raw_Data!E237, "YYYY-MM-DD")))</f>
        <v>46049</v>
      </c>
      <c r="F237" s="5">
        <f t="shared" si="1"/>
        <v>6</v>
      </c>
      <c r="G237" s="5">
        <f t="shared" si="2"/>
        <v>6</v>
      </c>
      <c r="H237" s="5" t="str">
        <f t="shared" si="3"/>
        <v>ON TIME</v>
      </c>
      <c r="I237" s="5">
        <f>Raw_Data!F237</f>
        <v>1636</v>
      </c>
      <c r="J237" s="5">
        <f t="shared" si="4"/>
        <v>0</v>
      </c>
    </row>
    <row r="238">
      <c r="A238" s="5" t="str">
        <f>Raw_Data!A238</f>
        <v>TRK100236</v>
      </c>
      <c r="B238" s="5" t="str">
        <f>TRIM(Raw_Data!B238)</f>
        <v>Delhivery</v>
      </c>
      <c r="C238" s="5" t="str">
        <f>TRIM(Raw_Data!C238)</f>
        <v>Tier 3</v>
      </c>
      <c r="D238" s="6">
        <f>DATEVALUE(TEXT(Raw_Data!D238, "YYYY-MM-DD"))</f>
        <v>46027</v>
      </c>
      <c r="E238" s="6">
        <f>IF(ISBLANK(Raw_Data!E238), "", DATEVALUE(TEXT(Raw_Data!E238, "YYYY-MM-DD")))</f>
        <v>46033</v>
      </c>
      <c r="F238" s="5">
        <f t="shared" si="1"/>
        <v>6</v>
      </c>
      <c r="G238" s="5">
        <f t="shared" si="2"/>
        <v>5</v>
      </c>
      <c r="H238" s="5" t="str">
        <f t="shared" si="3"/>
        <v>ON TIME</v>
      </c>
      <c r="I238" s="5">
        <f>Raw_Data!F238</f>
        <v>2564</v>
      </c>
      <c r="J238" s="5">
        <f t="shared" si="4"/>
        <v>0</v>
      </c>
    </row>
    <row r="239">
      <c r="A239" s="5" t="str">
        <f>Raw_Data!A239</f>
        <v>TRK100237</v>
      </c>
      <c r="B239" s="5" t="str">
        <f>TRIM(Raw_Data!B239)</f>
        <v>BlueDart</v>
      </c>
      <c r="C239" s="5" t="str">
        <f>TRIM(Raw_Data!C239)</f>
        <v>Tier 2</v>
      </c>
      <c r="D239" s="6">
        <f>DATEVALUE(TEXT(Raw_Data!D239, "YYYY-MM-DD"))</f>
        <v>46026</v>
      </c>
      <c r="E239" s="6">
        <f>IF(ISBLANK(Raw_Data!E239), "", DATEVALUE(TEXT(Raw_Data!E239, "YYYY-MM-DD")))</f>
        <v>46030</v>
      </c>
      <c r="F239" s="5">
        <f t="shared" si="1"/>
        <v>4</v>
      </c>
      <c r="G239" s="5">
        <f t="shared" si="2"/>
        <v>4</v>
      </c>
      <c r="H239" s="5" t="str">
        <f t="shared" si="3"/>
        <v>ON TIME</v>
      </c>
      <c r="I239" s="5">
        <f>Raw_Data!F239</f>
        <v>7509</v>
      </c>
      <c r="J239" s="5">
        <f t="shared" si="4"/>
        <v>0</v>
      </c>
    </row>
    <row r="240">
      <c r="A240" s="5" t="str">
        <f>Raw_Data!A240</f>
        <v>TRK100238</v>
      </c>
      <c r="B240" s="5" t="str">
        <f>TRIM(Raw_Data!B240)</f>
        <v>Delhivery</v>
      </c>
      <c r="C240" s="5" t="str">
        <f>TRIM(Raw_Data!C240)</f>
        <v>Metro</v>
      </c>
      <c r="D240" s="6">
        <f>DATEVALUE(TEXT(Raw_Data!D240, "YYYY-MM-DD"))</f>
        <v>46051</v>
      </c>
      <c r="E240" s="6">
        <f>IF(ISBLANK(Raw_Data!E240), "", DATEVALUE(TEXT(Raw_Data!E240, "YYYY-MM-DD")))</f>
        <v>46053</v>
      </c>
      <c r="F240" s="5">
        <f t="shared" si="1"/>
        <v>2</v>
      </c>
      <c r="G240" s="5">
        <f t="shared" si="2"/>
        <v>2</v>
      </c>
      <c r="H240" s="5" t="str">
        <f t="shared" si="3"/>
        <v>ON TIME</v>
      </c>
      <c r="I240" s="5">
        <f>Raw_Data!F240</f>
        <v>5043</v>
      </c>
      <c r="J240" s="5">
        <f t="shared" si="4"/>
        <v>0</v>
      </c>
    </row>
    <row r="241">
      <c r="A241" s="5" t="str">
        <f>Raw_Data!A241</f>
        <v>TRK100239</v>
      </c>
      <c r="B241" s="5" t="str">
        <f>TRIM(Raw_Data!B241)</f>
        <v>EcomExpress</v>
      </c>
      <c r="C241" s="5" t="str">
        <f>TRIM(Raw_Data!C241)</f>
        <v>Tier 3</v>
      </c>
      <c r="D241" s="6">
        <f>DATEVALUE(TEXT(Raw_Data!D241, "YYYY-MM-DD"))</f>
        <v>46053</v>
      </c>
      <c r="E241" s="6">
        <f>IF(ISBLANK(Raw_Data!E241), "", DATEVALUE(TEXT(Raw_Data!E241, "YYYY-MM-DD")))</f>
        <v>46059</v>
      </c>
      <c r="F241" s="5">
        <f t="shared" si="1"/>
        <v>6</v>
      </c>
      <c r="G241" s="5">
        <f t="shared" si="2"/>
        <v>5</v>
      </c>
      <c r="H241" s="5" t="str">
        <f t="shared" si="3"/>
        <v>ON TIME</v>
      </c>
      <c r="I241" s="5">
        <f>Raw_Data!F241</f>
        <v>1507</v>
      </c>
      <c r="J241" s="5">
        <f t="shared" si="4"/>
        <v>0</v>
      </c>
    </row>
    <row r="242">
      <c r="A242" s="5" t="str">
        <f>Raw_Data!A242</f>
        <v>TRK100240</v>
      </c>
      <c r="B242" s="5" t="str">
        <f>TRIM(Raw_Data!B242)</f>
        <v>EcomExpress</v>
      </c>
      <c r="C242" s="5" t="str">
        <f>TRIM(Raw_Data!C242)</f>
        <v>Metro</v>
      </c>
      <c r="D242" s="6">
        <f>DATEVALUE(TEXT(Raw_Data!D242, "YYYY-MM-DD"))</f>
        <v>46036</v>
      </c>
      <c r="E242" s="6">
        <f>IF(ISBLANK(Raw_Data!E242), "", DATEVALUE(TEXT(Raw_Data!E242, "YYYY-MM-DD")))</f>
        <v>46041</v>
      </c>
      <c r="F242" s="5">
        <f t="shared" si="1"/>
        <v>2</v>
      </c>
      <c r="G242" s="5">
        <f t="shared" si="2"/>
        <v>4</v>
      </c>
      <c r="H242" s="5" t="str">
        <f t="shared" si="3"/>
        <v>SLA BREACH</v>
      </c>
      <c r="I242" s="5">
        <f>Raw_Data!F242</f>
        <v>5945</v>
      </c>
      <c r="J242" s="5">
        <f t="shared" si="4"/>
        <v>297.25</v>
      </c>
    </row>
    <row r="243">
      <c r="A243" s="5" t="str">
        <f>Raw_Data!A243</f>
        <v>TRK100241</v>
      </c>
      <c r="B243" s="5" t="str">
        <f>TRIM(Raw_Data!B243)</f>
        <v>Delhivery</v>
      </c>
      <c r="C243" s="5" t="str">
        <f>TRIM(Raw_Data!C243)</f>
        <v>Tier 2</v>
      </c>
      <c r="D243" s="6">
        <f>DATEVALUE(TEXT(Raw_Data!D243, "YYYY-MM-DD"))</f>
        <v>46061</v>
      </c>
      <c r="E243" s="6">
        <f>IF(ISBLANK(Raw_Data!E243), "", DATEVALUE(TEXT(Raw_Data!E243, "YYYY-MM-DD")))</f>
        <v>46068</v>
      </c>
      <c r="F243" s="5">
        <f t="shared" si="1"/>
        <v>4</v>
      </c>
      <c r="G243" s="5">
        <f t="shared" si="2"/>
        <v>5</v>
      </c>
      <c r="H243" s="5" t="str">
        <f t="shared" si="3"/>
        <v>SLA BREACH</v>
      </c>
      <c r="I243" s="5">
        <f>Raw_Data!F243</f>
        <v>11206</v>
      </c>
      <c r="J243" s="5">
        <f t="shared" si="4"/>
        <v>560.3</v>
      </c>
    </row>
    <row r="244">
      <c r="A244" s="5" t="str">
        <f>Raw_Data!A244</f>
        <v>TRK100242</v>
      </c>
      <c r="B244" s="5" t="str">
        <f>TRIM(Raw_Data!B244)</f>
        <v>EcomExpress</v>
      </c>
      <c r="C244" s="5" t="str">
        <f>TRIM(Raw_Data!C244)</f>
        <v>Metro</v>
      </c>
      <c r="D244" s="6">
        <f>DATEVALUE(TEXT(Raw_Data!D244, "YYYY-MM-DD"))</f>
        <v>46043</v>
      </c>
      <c r="E244" s="6">
        <f>IF(ISBLANK(Raw_Data!E244), "", DATEVALUE(TEXT(Raw_Data!E244, "YYYY-MM-DD")))</f>
        <v>46047</v>
      </c>
      <c r="F244" s="5">
        <f t="shared" si="1"/>
        <v>2</v>
      </c>
      <c r="G244" s="5">
        <f t="shared" si="2"/>
        <v>3</v>
      </c>
      <c r="H244" s="5" t="str">
        <f t="shared" si="3"/>
        <v>SLA BREACH</v>
      </c>
      <c r="I244" s="5">
        <f>Raw_Data!F244</f>
        <v>5852</v>
      </c>
      <c r="J244" s="5">
        <f t="shared" si="4"/>
        <v>292.6</v>
      </c>
    </row>
    <row r="245">
      <c r="A245" s="5" t="str">
        <f>Raw_Data!A245</f>
        <v>TRK100243</v>
      </c>
      <c r="B245" s="5" t="str">
        <f>TRIM(Raw_Data!B245)</f>
        <v>Delhivery</v>
      </c>
      <c r="C245" s="5" t="str">
        <f>TRIM(Raw_Data!C245)</f>
        <v>Tier 3</v>
      </c>
      <c r="D245" s="6">
        <f>DATEVALUE(TEXT(Raw_Data!D245, "YYYY-MM-DD"))</f>
        <v>46043</v>
      </c>
      <c r="E245" s="6">
        <f>IF(ISBLANK(Raw_Data!E245), "", DATEVALUE(TEXT(Raw_Data!E245, "YYYY-MM-DD")))</f>
        <v>46049</v>
      </c>
      <c r="F245" s="5">
        <f t="shared" si="1"/>
        <v>6</v>
      </c>
      <c r="G245" s="5">
        <f t="shared" si="2"/>
        <v>5</v>
      </c>
      <c r="H245" s="5" t="str">
        <f t="shared" si="3"/>
        <v>ON TIME</v>
      </c>
      <c r="I245" s="5">
        <f>Raw_Data!F245</f>
        <v>9939</v>
      </c>
      <c r="J245" s="5">
        <f t="shared" si="4"/>
        <v>0</v>
      </c>
    </row>
    <row r="246">
      <c r="A246" s="5" t="str">
        <f>Raw_Data!A246</f>
        <v>TRK100244</v>
      </c>
      <c r="B246" s="5" t="str">
        <f>TRIM(Raw_Data!B246)</f>
        <v>Delhivery</v>
      </c>
      <c r="C246" s="5" t="str">
        <f>TRIM(Raw_Data!C246)</f>
        <v>Tier 3</v>
      </c>
      <c r="D246" s="6">
        <f>DATEVALUE(TEXT(Raw_Data!D246, "YYYY-MM-DD"))</f>
        <v>46078</v>
      </c>
      <c r="E246" s="6" t="str">
        <f>IF(ISBLANK(Raw_Data!E246), "", DATEVALUE(TEXT(Raw_Data!E246, "YYYY-MM-DD")))</f>
        <v/>
      </c>
      <c r="F246" s="5">
        <f t="shared" si="1"/>
        <v>6</v>
      </c>
      <c r="G246" s="5" t="str">
        <f t="shared" si="2"/>
        <v>In-Transit</v>
      </c>
      <c r="H246" s="5" t="str">
        <f t="shared" si="3"/>
        <v>Pending</v>
      </c>
      <c r="I246" s="5">
        <f>Raw_Data!F246</f>
        <v>1935</v>
      </c>
      <c r="J246" s="5">
        <f t="shared" si="4"/>
        <v>0</v>
      </c>
    </row>
    <row r="247">
      <c r="A247" s="5" t="str">
        <f>Raw_Data!A247</f>
        <v>TRK100245</v>
      </c>
      <c r="B247" s="5" t="str">
        <f>TRIM(Raw_Data!B247)</f>
        <v>Delhivery</v>
      </c>
      <c r="C247" s="5" t="str">
        <f>TRIM(Raw_Data!C247)</f>
        <v>Metro</v>
      </c>
      <c r="D247" s="6">
        <f>DATEVALUE(TEXT(Raw_Data!D247, "YYYY-MM-DD"))</f>
        <v>46048</v>
      </c>
      <c r="E247" s="6">
        <f>IF(ISBLANK(Raw_Data!E247), "", DATEVALUE(TEXT(Raw_Data!E247, "YYYY-MM-DD")))</f>
        <v>46053</v>
      </c>
      <c r="F247" s="5">
        <f t="shared" si="1"/>
        <v>2</v>
      </c>
      <c r="G247" s="5">
        <f t="shared" si="2"/>
        <v>5</v>
      </c>
      <c r="H247" s="5" t="str">
        <f t="shared" si="3"/>
        <v>SLA BREACH</v>
      </c>
      <c r="I247" s="5">
        <f>Raw_Data!F247</f>
        <v>1071</v>
      </c>
      <c r="J247" s="5">
        <f t="shared" si="4"/>
        <v>53.55</v>
      </c>
    </row>
    <row r="248">
      <c r="A248" s="5" t="str">
        <f>Raw_Data!A248</f>
        <v>TRK100246</v>
      </c>
      <c r="B248" s="5" t="str">
        <f>TRIM(Raw_Data!B248)</f>
        <v>EcomExpress</v>
      </c>
      <c r="C248" s="5" t="str">
        <f>TRIM(Raw_Data!C248)</f>
        <v>Tier 2</v>
      </c>
      <c r="D248" s="6">
        <f>DATEVALUE(TEXT(Raw_Data!D248, "YYYY-MM-DD"))</f>
        <v>46071</v>
      </c>
      <c r="E248" s="6">
        <f>IF(ISBLANK(Raw_Data!E248), "", DATEVALUE(TEXT(Raw_Data!E248, "YYYY-MM-DD")))</f>
        <v>46075</v>
      </c>
      <c r="F248" s="5">
        <f t="shared" si="1"/>
        <v>4</v>
      </c>
      <c r="G248" s="5">
        <f t="shared" si="2"/>
        <v>3</v>
      </c>
      <c r="H248" s="5" t="str">
        <f t="shared" si="3"/>
        <v>ON TIME</v>
      </c>
      <c r="I248" s="5">
        <f>Raw_Data!F248</f>
        <v>2882</v>
      </c>
      <c r="J248" s="5">
        <f t="shared" si="4"/>
        <v>0</v>
      </c>
    </row>
    <row r="249">
      <c r="A249" s="5" t="str">
        <f>Raw_Data!A249</f>
        <v>TRK100247</v>
      </c>
      <c r="B249" s="5" t="str">
        <f>TRIM(Raw_Data!B249)</f>
        <v>EcomExpress</v>
      </c>
      <c r="C249" s="5" t="str">
        <f>TRIM(Raw_Data!C249)</f>
        <v>Metro</v>
      </c>
      <c r="D249" s="6">
        <f>DATEVALUE(TEXT(Raw_Data!D249, "YYYY-MM-DD"))</f>
        <v>46055</v>
      </c>
      <c r="E249" s="6">
        <f>IF(ISBLANK(Raw_Data!E249), "", DATEVALUE(TEXT(Raw_Data!E249, "YYYY-MM-DD")))</f>
        <v>46060</v>
      </c>
      <c r="F249" s="5">
        <f t="shared" si="1"/>
        <v>2</v>
      </c>
      <c r="G249" s="5">
        <f t="shared" si="2"/>
        <v>5</v>
      </c>
      <c r="H249" s="5" t="str">
        <f t="shared" si="3"/>
        <v>SLA BREACH</v>
      </c>
      <c r="I249" s="5">
        <f>Raw_Data!F249</f>
        <v>9937</v>
      </c>
      <c r="J249" s="5">
        <f t="shared" si="4"/>
        <v>496.85</v>
      </c>
    </row>
    <row r="250">
      <c r="A250" s="5" t="str">
        <f>Raw_Data!A250</f>
        <v>TRK100248</v>
      </c>
      <c r="B250" s="5" t="str">
        <f>TRIM(Raw_Data!B250)</f>
        <v>Delhivery</v>
      </c>
      <c r="C250" s="5" t="str">
        <f>TRIM(Raw_Data!C250)</f>
        <v>Tier 3</v>
      </c>
      <c r="D250" s="6">
        <f>DATEVALUE(TEXT(Raw_Data!D250, "YYYY-MM-DD"))</f>
        <v>46029</v>
      </c>
      <c r="E250" s="6">
        <f>IF(ISBLANK(Raw_Data!E250), "", DATEVALUE(TEXT(Raw_Data!E250, "YYYY-MM-DD")))</f>
        <v>46038</v>
      </c>
      <c r="F250" s="5">
        <f t="shared" si="1"/>
        <v>6</v>
      </c>
      <c r="G250" s="5">
        <f t="shared" si="2"/>
        <v>8</v>
      </c>
      <c r="H250" s="5" t="str">
        <f t="shared" si="3"/>
        <v>SLA BREACH</v>
      </c>
      <c r="I250" s="5">
        <f>Raw_Data!F250</f>
        <v>10776</v>
      </c>
      <c r="J250" s="5">
        <f t="shared" si="4"/>
        <v>538.8</v>
      </c>
    </row>
    <row r="251">
      <c r="A251" s="5" t="str">
        <f>Raw_Data!A251</f>
        <v>TRK100249</v>
      </c>
      <c r="B251" s="5" t="str">
        <f>TRIM(Raw_Data!B251)</f>
        <v>Delhivery</v>
      </c>
      <c r="C251" s="5" t="str">
        <f>TRIM(Raw_Data!C251)</f>
        <v>Tier 2</v>
      </c>
      <c r="D251" s="6">
        <f>DATEVALUE(TEXT(Raw_Data!D251, "YYYY-MM-DD"))</f>
        <v>46038</v>
      </c>
      <c r="E251" s="6">
        <f>IF(ISBLANK(Raw_Data!E251), "", DATEVALUE(TEXT(Raw_Data!E251, "YYYY-MM-DD")))</f>
        <v>46044</v>
      </c>
      <c r="F251" s="5">
        <f t="shared" si="1"/>
        <v>4</v>
      </c>
      <c r="G251" s="5">
        <f t="shared" si="2"/>
        <v>5</v>
      </c>
      <c r="H251" s="5" t="str">
        <f t="shared" si="3"/>
        <v>SLA BREACH</v>
      </c>
      <c r="I251" s="5">
        <f>Raw_Data!F251</f>
        <v>5584</v>
      </c>
      <c r="J251" s="5">
        <f t="shared" si="4"/>
        <v>279.2</v>
      </c>
    </row>
    <row r="252">
      <c r="A252" s="5" t="str">
        <f>Raw_Data!A252</f>
        <v>TRK100250</v>
      </c>
      <c r="B252" s="5" t="str">
        <f>TRIM(Raw_Data!B252)</f>
        <v>Delhivery</v>
      </c>
      <c r="C252" s="5" t="str">
        <f>TRIM(Raw_Data!C252)</f>
        <v>Metro</v>
      </c>
      <c r="D252" s="6">
        <f>DATEVALUE(TEXT(Raw_Data!D252, "YYYY-MM-DD"))</f>
        <v>46030</v>
      </c>
      <c r="E252" s="6">
        <f>IF(ISBLANK(Raw_Data!E252), "", DATEVALUE(TEXT(Raw_Data!E252, "YYYY-MM-DD")))</f>
        <v>46032</v>
      </c>
      <c r="F252" s="5">
        <f t="shared" si="1"/>
        <v>2</v>
      </c>
      <c r="G252" s="5">
        <f t="shared" si="2"/>
        <v>2</v>
      </c>
      <c r="H252" s="5" t="str">
        <f t="shared" si="3"/>
        <v>ON TIME</v>
      </c>
      <c r="I252" s="5">
        <f>Raw_Data!F252</f>
        <v>777</v>
      </c>
      <c r="J252" s="5">
        <f t="shared" si="4"/>
        <v>0</v>
      </c>
    </row>
    <row r="253">
      <c r="A253" s="5" t="str">
        <f>Raw_Data!A253</f>
        <v>TRK100251</v>
      </c>
      <c r="B253" s="5" t="str">
        <f>TRIM(Raw_Data!B253)</f>
        <v>Delhivery</v>
      </c>
      <c r="C253" s="5" t="str">
        <f>TRIM(Raw_Data!C253)</f>
        <v>Metro</v>
      </c>
      <c r="D253" s="6">
        <f>DATEVALUE(TEXT(Raw_Data!D253, "YYYY-MM-DD"))</f>
        <v>46051</v>
      </c>
      <c r="E253" s="6">
        <f>IF(ISBLANK(Raw_Data!E253), "", DATEVALUE(TEXT(Raw_Data!E253, "YYYY-MM-DD")))</f>
        <v>46053</v>
      </c>
      <c r="F253" s="5">
        <f t="shared" si="1"/>
        <v>2</v>
      </c>
      <c r="G253" s="5">
        <f t="shared" si="2"/>
        <v>2</v>
      </c>
      <c r="H253" s="5" t="str">
        <f t="shared" si="3"/>
        <v>ON TIME</v>
      </c>
      <c r="I253" s="5">
        <f>Raw_Data!F253</f>
        <v>7559</v>
      </c>
      <c r="J253" s="5">
        <f t="shared" si="4"/>
        <v>0</v>
      </c>
    </row>
    <row r="254">
      <c r="A254" s="5" t="str">
        <f>Raw_Data!A254</f>
        <v>TRK100252</v>
      </c>
      <c r="B254" s="5" t="str">
        <f>TRIM(Raw_Data!B254)</f>
        <v>BlueDart</v>
      </c>
      <c r="C254" s="5" t="str">
        <f>TRIM(Raw_Data!C254)</f>
        <v>Tier 2</v>
      </c>
      <c r="D254" s="6">
        <f>DATEVALUE(TEXT(Raw_Data!D254, "YYYY-MM-DD"))</f>
        <v>46032</v>
      </c>
      <c r="E254" s="6">
        <f>IF(ISBLANK(Raw_Data!E254), "", DATEVALUE(TEXT(Raw_Data!E254, "YYYY-MM-DD")))</f>
        <v>46038</v>
      </c>
      <c r="F254" s="5">
        <f t="shared" si="1"/>
        <v>4</v>
      </c>
      <c r="G254" s="5">
        <f t="shared" si="2"/>
        <v>5</v>
      </c>
      <c r="H254" s="5" t="str">
        <f t="shared" si="3"/>
        <v>SLA BREACH</v>
      </c>
      <c r="I254" s="5">
        <f>Raw_Data!F254</f>
        <v>2387</v>
      </c>
      <c r="J254" s="5">
        <f t="shared" si="4"/>
        <v>119.35</v>
      </c>
    </row>
    <row r="255">
      <c r="A255" s="5" t="str">
        <f>Raw_Data!A255</f>
        <v>TRK100253</v>
      </c>
      <c r="B255" s="5" t="str">
        <f>TRIM(Raw_Data!B255)</f>
        <v>Delhivery</v>
      </c>
      <c r="C255" s="5" t="str">
        <f>TRIM(Raw_Data!C255)</f>
        <v>Metro</v>
      </c>
      <c r="D255" s="6">
        <f>DATEVALUE(TEXT(Raw_Data!D255, "YYYY-MM-DD"))</f>
        <v>46026</v>
      </c>
      <c r="E255" s="6">
        <f>IF(ISBLANK(Raw_Data!E255), "", DATEVALUE(TEXT(Raw_Data!E255, "YYYY-MM-DD")))</f>
        <v>46028</v>
      </c>
      <c r="F255" s="5">
        <f t="shared" si="1"/>
        <v>2</v>
      </c>
      <c r="G255" s="5">
        <f t="shared" si="2"/>
        <v>2</v>
      </c>
      <c r="H255" s="5" t="str">
        <f t="shared" si="3"/>
        <v>ON TIME</v>
      </c>
      <c r="I255" s="5">
        <f>Raw_Data!F255</f>
        <v>1765</v>
      </c>
      <c r="J255" s="5">
        <f t="shared" si="4"/>
        <v>0</v>
      </c>
    </row>
    <row r="256">
      <c r="A256" s="5" t="str">
        <f>Raw_Data!A256</f>
        <v>TRK100254</v>
      </c>
      <c r="B256" s="5" t="str">
        <f>TRIM(Raw_Data!B256)</f>
        <v>EcomExpress</v>
      </c>
      <c r="C256" s="5" t="str">
        <f>TRIM(Raw_Data!C256)</f>
        <v>Tier 2</v>
      </c>
      <c r="D256" s="6">
        <f>DATEVALUE(TEXT(Raw_Data!D256, "YYYY-MM-DD"))</f>
        <v>46083</v>
      </c>
      <c r="E256" s="6">
        <f>IF(ISBLANK(Raw_Data!E256), "", DATEVALUE(TEXT(Raw_Data!E256, "YYYY-MM-DD")))</f>
        <v>46087</v>
      </c>
      <c r="F256" s="5">
        <f t="shared" si="1"/>
        <v>4</v>
      </c>
      <c r="G256" s="5">
        <f t="shared" si="2"/>
        <v>5</v>
      </c>
      <c r="H256" s="5" t="str">
        <f t="shared" si="3"/>
        <v>SLA BREACH</v>
      </c>
      <c r="I256" s="5">
        <f>Raw_Data!F256</f>
        <v>7991</v>
      </c>
      <c r="J256" s="5">
        <f t="shared" si="4"/>
        <v>399.55</v>
      </c>
    </row>
    <row r="257">
      <c r="A257" s="5" t="str">
        <f>Raw_Data!A257</f>
        <v>TRK100255</v>
      </c>
      <c r="B257" s="5" t="str">
        <f>TRIM(Raw_Data!B257)</f>
        <v>Delhivery</v>
      </c>
      <c r="C257" s="5" t="str">
        <f>TRIM(Raw_Data!C257)</f>
        <v>Tier 2</v>
      </c>
      <c r="D257" s="6">
        <f>DATEVALUE(TEXT(Raw_Data!D257, "YYYY-MM-DD"))</f>
        <v>46078</v>
      </c>
      <c r="E257" s="6">
        <f>IF(ISBLANK(Raw_Data!E257), "", DATEVALUE(TEXT(Raw_Data!E257, "YYYY-MM-DD")))</f>
        <v>46082</v>
      </c>
      <c r="F257" s="5">
        <f t="shared" si="1"/>
        <v>4</v>
      </c>
      <c r="G257" s="5">
        <f t="shared" si="2"/>
        <v>3</v>
      </c>
      <c r="H257" s="5" t="str">
        <f t="shared" si="3"/>
        <v>ON TIME</v>
      </c>
      <c r="I257" s="5">
        <f>Raw_Data!F257</f>
        <v>1540</v>
      </c>
      <c r="J257" s="5">
        <f t="shared" si="4"/>
        <v>0</v>
      </c>
    </row>
    <row r="258">
      <c r="A258" s="5" t="str">
        <f>Raw_Data!A258</f>
        <v>TRK100256</v>
      </c>
      <c r="B258" s="5" t="str">
        <f>TRIM(Raw_Data!B258)</f>
        <v>BlueDart</v>
      </c>
      <c r="C258" s="5" t="str">
        <f>TRIM(Raw_Data!C258)</f>
        <v>Tier 2</v>
      </c>
      <c r="D258" s="6">
        <f>DATEVALUE(TEXT(Raw_Data!D258, "YYYY-MM-DD"))</f>
        <v>46049</v>
      </c>
      <c r="E258" s="6">
        <f>IF(ISBLANK(Raw_Data!E258), "", DATEVALUE(TEXT(Raw_Data!E258, "YYYY-MM-DD")))</f>
        <v>46056</v>
      </c>
      <c r="F258" s="5">
        <f t="shared" si="1"/>
        <v>4</v>
      </c>
      <c r="G258" s="5">
        <f t="shared" si="2"/>
        <v>6</v>
      </c>
      <c r="H258" s="5" t="str">
        <f t="shared" si="3"/>
        <v>SLA BREACH</v>
      </c>
      <c r="I258" s="5">
        <f>Raw_Data!F258</f>
        <v>9609</v>
      </c>
      <c r="J258" s="5">
        <f t="shared" si="4"/>
        <v>480.45</v>
      </c>
    </row>
    <row r="259">
      <c r="A259" s="5" t="str">
        <f>Raw_Data!A259</f>
        <v>TRK100257</v>
      </c>
      <c r="B259" s="5" t="str">
        <f>TRIM(Raw_Data!B259)</f>
        <v>EcomExpress</v>
      </c>
      <c r="C259" s="5" t="str">
        <f>TRIM(Raw_Data!C259)</f>
        <v>Tier 2</v>
      </c>
      <c r="D259" s="6">
        <f>DATEVALUE(TEXT(Raw_Data!D259, "YYYY-MM-DD"))</f>
        <v>46078</v>
      </c>
      <c r="E259" s="6">
        <f>IF(ISBLANK(Raw_Data!E259), "", DATEVALUE(TEXT(Raw_Data!E259, "YYYY-MM-DD")))</f>
        <v>46082</v>
      </c>
      <c r="F259" s="5">
        <f t="shared" si="1"/>
        <v>4</v>
      </c>
      <c r="G259" s="5">
        <f t="shared" si="2"/>
        <v>3</v>
      </c>
      <c r="H259" s="5" t="str">
        <f t="shared" si="3"/>
        <v>ON TIME</v>
      </c>
      <c r="I259" s="5">
        <f>Raw_Data!F259</f>
        <v>8573</v>
      </c>
      <c r="J259" s="5">
        <f t="shared" si="4"/>
        <v>0</v>
      </c>
    </row>
    <row r="260">
      <c r="A260" s="5" t="str">
        <f>Raw_Data!A260</f>
        <v>TRK100258</v>
      </c>
      <c r="B260" s="5" t="str">
        <f>TRIM(Raw_Data!B260)</f>
        <v>BlueDart</v>
      </c>
      <c r="C260" s="5" t="str">
        <f>TRIM(Raw_Data!C260)</f>
        <v>Metro</v>
      </c>
      <c r="D260" s="6">
        <f>DATEVALUE(TEXT(Raw_Data!D260, "YYYY-MM-DD"))</f>
        <v>46075</v>
      </c>
      <c r="E260" s="6">
        <f>IF(ISBLANK(Raw_Data!E260), "", DATEVALUE(TEXT(Raw_Data!E260, "YYYY-MM-DD")))</f>
        <v>46077</v>
      </c>
      <c r="F260" s="5">
        <f t="shared" si="1"/>
        <v>2</v>
      </c>
      <c r="G260" s="5">
        <f t="shared" si="2"/>
        <v>2</v>
      </c>
      <c r="H260" s="5" t="str">
        <f t="shared" si="3"/>
        <v>ON TIME</v>
      </c>
      <c r="I260" s="5">
        <f>Raw_Data!F260</f>
        <v>9577</v>
      </c>
      <c r="J260" s="5">
        <f t="shared" si="4"/>
        <v>0</v>
      </c>
    </row>
    <row r="261">
      <c r="A261" s="5" t="str">
        <f>Raw_Data!A261</f>
        <v>TRK100259</v>
      </c>
      <c r="B261" s="5" t="str">
        <f>TRIM(Raw_Data!B261)</f>
        <v>Delhivery</v>
      </c>
      <c r="C261" s="5" t="str">
        <f>TRIM(Raw_Data!C261)</f>
        <v>Metro</v>
      </c>
      <c r="D261" s="6">
        <f>DATEVALUE(TEXT(Raw_Data!D261, "YYYY-MM-DD"))</f>
        <v>46082</v>
      </c>
      <c r="E261" s="6">
        <f>IF(ISBLANK(Raw_Data!E261), "", DATEVALUE(TEXT(Raw_Data!E261, "YYYY-MM-DD")))</f>
        <v>46084</v>
      </c>
      <c r="F261" s="5">
        <f t="shared" si="1"/>
        <v>2</v>
      </c>
      <c r="G261" s="5">
        <f t="shared" si="2"/>
        <v>2</v>
      </c>
      <c r="H261" s="5" t="str">
        <f t="shared" si="3"/>
        <v>ON TIME</v>
      </c>
      <c r="I261" s="5">
        <f>Raw_Data!F261</f>
        <v>3252</v>
      </c>
      <c r="J261" s="5">
        <f t="shared" si="4"/>
        <v>0</v>
      </c>
    </row>
    <row r="262">
      <c r="A262" s="5" t="str">
        <f>Raw_Data!A262</f>
        <v>TRK100260</v>
      </c>
      <c r="B262" s="5" t="str">
        <f>TRIM(Raw_Data!B262)</f>
        <v>EcomExpress</v>
      </c>
      <c r="C262" s="5" t="str">
        <f>TRIM(Raw_Data!C262)</f>
        <v>Tier 3</v>
      </c>
      <c r="D262" s="6">
        <f>DATEVALUE(TEXT(Raw_Data!D262, "YYYY-MM-DD"))</f>
        <v>46069</v>
      </c>
      <c r="E262" s="6">
        <f>IF(ISBLANK(Raw_Data!E262), "", DATEVALUE(TEXT(Raw_Data!E262, "YYYY-MM-DD")))</f>
        <v>46075</v>
      </c>
      <c r="F262" s="5">
        <f t="shared" si="1"/>
        <v>6</v>
      </c>
      <c r="G262" s="5">
        <f t="shared" si="2"/>
        <v>5</v>
      </c>
      <c r="H262" s="5" t="str">
        <f t="shared" si="3"/>
        <v>ON TIME</v>
      </c>
      <c r="I262" s="5">
        <f>Raw_Data!F262</f>
        <v>8713</v>
      </c>
      <c r="J262" s="5">
        <f t="shared" si="4"/>
        <v>0</v>
      </c>
    </row>
    <row r="263">
      <c r="A263" s="5" t="str">
        <f>Raw_Data!A263</f>
        <v>TRK100261</v>
      </c>
      <c r="B263" s="5" t="str">
        <f>TRIM(Raw_Data!B263)</f>
        <v>Delhivery</v>
      </c>
      <c r="C263" s="5" t="str">
        <f>TRIM(Raw_Data!C263)</f>
        <v>Tier 2</v>
      </c>
      <c r="D263" s="6">
        <f>DATEVALUE(TEXT(Raw_Data!D263, "YYYY-MM-DD"))</f>
        <v>46035</v>
      </c>
      <c r="E263" s="6">
        <f>IF(ISBLANK(Raw_Data!E263), "", DATEVALUE(TEXT(Raw_Data!E263, "YYYY-MM-DD")))</f>
        <v>46044</v>
      </c>
      <c r="F263" s="5">
        <f t="shared" si="1"/>
        <v>4</v>
      </c>
      <c r="G263" s="5">
        <f t="shared" si="2"/>
        <v>8</v>
      </c>
      <c r="H263" s="5" t="str">
        <f t="shared" si="3"/>
        <v>SLA BREACH</v>
      </c>
      <c r="I263" s="5">
        <f>Raw_Data!F263</f>
        <v>5069</v>
      </c>
      <c r="J263" s="5">
        <f t="shared" si="4"/>
        <v>253.45</v>
      </c>
    </row>
    <row r="264">
      <c r="A264" s="5" t="str">
        <f>Raw_Data!A264</f>
        <v>TRK100262</v>
      </c>
      <c r="B264" s="5" t="str">
        <f>TRIM(Raw_Data!B264)</f>
        <v>EcomExpress</v>
      </c>
      <c r="C264" s="5" t="str">
        <f>TRIM(Raw_Data!C264)</f>
        <v>Tier 3</v>
      </c>
      <c r="D264" s="6">
        <f>DATEVALUE(TEXT(Raw_Data!D264, "YYYY-MM-DD"))</f>
        <v>46033</v>
      </c>
      <c r="E264" s="6">
        <f>IF(ISBLANK(Raw_Data!E264), "", DATEVALUE(TEXT(Raw_Data!E264, "YYYY-MM-DD")))</f>
        <v>46039</v>
      </c>
      <c r="F264" s="5">
        <f t="shared" si="1"/>
        <v>6</v>
      </c>
      <c r="G264" s="5">
        <f t="shared" si="2"/>
        <v>5</v>
      </c>
      <c r="H264" s="5" t="str">
        <f t="shared" si="3"/>
        <v>ON TIME</v>
      </c>
      <c r="I264" s="5">
        <f>Raw_Data!F264</f>
        <v>11883</v>
      </c>
      <c r="J264" s="5">
        <f t="shared" si="4"/>
        <v>0</v>
      </c>
    </row>
    <row r="265">
      <c r="A265" s="5" t="str">
        <f>Raw_Data!A265</f>
        <v>TRK100263</v>
      </c>
      <c r="B265" s="5" t="str">
        <f>TRIM(Raw_Data!B265)</f>
        <v>EcomExpress</v>
      </c>
      <c r="C265" s="5" t="str">
        <f>TRIM(Raw_Data!C265)</f>
        <v>Tier 3</v>
      </c>
      <c r="D265" s="6">
        <f>DATEVALUE(TEXT(Raw_Data!D265, "YYYY-MM-DD"))</f>
        <v>46055</v>
      </c>
      <c r="E265" s="6">
        <f>IF(ISBLANK(Raw_Data!E265), "", DATEVALUE(TEXT(Raw_Data!E265, "YYYY-MM-DD")))</f>
        <v>46061</v>
      </c>
      <c r="F265" s="5">
        <f t="shared" si="1"/>
        <v>6</v>
      </c>
      <c r="G265" s="5">
        <f t="shared" si="2"/>
        <v>5</v>
      </c>
      <c r="H265" s="5" t="str">
        <f t="shared" si="3"/>
        <v>ON TIME</v>
      </c>
      <c r="I265" s="5">
        <f>Raw_Data!F265</f>
        <v>6853</v>
      </c>
      <c r="J265" s="5">
        <f t="shared" si="4"/>
        <v>0</v>
      </c>
    </row>
    <row r="266">
      <c r="A266" s="5" t="str">
        <f>Raw_Data!A266</f>
        <v>TRK100264</v>
      </c>
      <c r="B266" s="5" t="str">
        <f>TRIM(Raw_Data!B266)</f>
        <v>EcomExpress</v>
      </c>
      <c r="C266" s="5" t="str">
        <f>TRIM(Raw_Data!C266)</f>
        <v>Metro</v>
      </c>
      <c r="D266" s="6">
        <f>DATEVALUE(TEXT(Raw_Data!D266, "YYYY-MM-DD"))</f>
        <v>46054</v>
      </c>
      <c r="E266" s="6">
        <f>IF(ISBLANK(Raw_Data!E266), "", DATEVALUE(TEXT(Raw_Data!E266, "YYYY-MM-DD")))</f>
        <v>46058</v>
      </c>
      <c r="F266" s="5">
        <f t="shared" si="1"/>
        <v>2</v>
      </c>
      <c r="G266" s="5">
        <f t="shared" si="2"/>
        <v>4</v>
      </c>
      <c r="H266" s="5" t="str">
        <f t="shared" si="3"/>
        <v>SLA BREACH</v>
      </c>
      <c r="I266" s="5">
        <f>Raw_Data!F266</f>
        <v>2853</v>
      </c>
      <c r="J266" s="5">
        <f t="shared" si="4"/>
        <v>142.65</v>
      </c>
    </row>
    <row r="267">
      <c r="A267" s="5" t="str">
        <f>Raw_Data!A267</f>
        <v>TRK100265</v>
      </c>
      <c r="B267" s="5" t="str">
        <f>TRIM(Raw_Data!B267)</f>
        <v>BlueDart</v>
      </c>
      <c r="C267" s="5" t="str">
        <f>TRIM(Raw_Data!C267)</f>
        <v>Metro</v>
      </c>
      <c r="D267" s="6">
        <f>DATEVALUE(TEXT(Raw_Data!D267, "YYYY-MM-DD"))</f>
        <v>46054</v>
      </c>
      <c r="E267" s="6">
        <f>IF(ISBLANK(Raw_Data!E267), "", DATEVALUE(TEXT(Raw_Data!E267, "YYYY-MM-DD")))</f>
        <v>46057</v>
      </c>
      <c r="F267" s="5">
        <f t="shared" si="1"/>
        <v>2</v>
      </c>
      <c r="G267" s="5">
        <f t="shared" si="2"/>
        <v>3</v>
      </c>
      <c r="H267" s="5" t="str">
        <f t="shared" si="3"/>
        <v>SLA BREACH</v>
      </c>
      <c r="I267" s="5">
        <f>Raw_Data!F267</f>
        <v>7937</v>
      </c>
      <c r="J267" s="5">
        <f t="shared" si="4"/>
        <v>396.85</v>
      </c>
    </row>
    <row r="268">
      <c r="A268" s="5" t="str">
        <f>Raw_Data!A268</f>
        <v>TRK100266</v>
      </c>
      <c r="B268" s="5" t="str">
        <f>TRIM(Raw_Data!B268)</f>
        <v>Delhivery</v>
      </c>
      <c r="C268" s="5" t="str">
        <f>TRIM(Raw_Data!C268)</f>
        <v>Metro</v>
      </c>
      <c r="D268" s="6">
        <f>DATEVALUE(TEXT(Raw_Data!D268, "YYYY-MM-DD"))</f>
        <v>46028</v>
      </c>
      <c r="E268" s="6">
        <f>IF(ISBLANK(Raw_Data!E268), "", DATEVALUE(TEXT(Raw_Data!E268, "YYYY-MM-DD")))</f>
        <v>46030</v>
      </c>
      <c r="F268" s="5">
        <f t="shared" si="1"/>
        <v>2</v>
      </c>
      <c r="G268" s="5">
        <f t="shared" si="2"/>
        <v>3</v>
      </c>
      <c r="H268" s="5" t="str">
        <f t="shared" si="3"/>
        <v>SLA BREACH</v>
      </c>
      <c r="I268" s="5">
        <f>Raw_Data!F268</f>
        <v>5299</v>
      </c>
      <c r="J268" s="5">
        <f t="shared" si="4"/>
        <v>264.95</v>
      </c>
    </row>
    <row r="269">
      <c r="A269" s="5" t="str">
        <f>Raw_Data!A269</f>
        <v>TRK100267</v>
      </c>
      <c r="B269" s="5" t="str">
        <f>TRIM(Raw_Data!B269)</f>
        <v>BlueDart</v>
      </c>
      <c r="C269" s="5" t="str">
        <f>TRIM(Raw_Data!C269)</f>
        <v>Metro</v>
      </c>
      <c r="D269" s="6">
        <f>DATEVALUE(TEXT(Raw_Data!D269, "YYYY-MM-DD"))</f>
        <v>46055</v>
      </c>
      <c r="E269" s="6">
        <f>IF(ISBLANK(Raw_Data!E269), "", DATEVALUE(TEXT(Raw_Data!E269, "YYYY-MM-DD")))</f>
        <v>46058</v>
      </c>
      <c r="F269" s="5">
        <f t="shared" si="1"/>
        <v>2</v>
      </c>
      <c r="G269" s="5">
        <f t="shared" si="2"/>
        <v>4</v>
      </c>
      <c r="H269" s="5" t="str">
        <f t="shared" si="3"/>
        <v>SLA BREACH</v>
      </c>
      <c r="I269" s="5">
        <f>Raw_Data!F269</f>
        <v>1186</v>
      </c>
      <c r="J269" s="5">
        <f t="shared" si="4"/>
        <v>59.3</v>
      </c>
    </row>
    <row r="270">
      <c r="A270" s="5" t="str">
        <f>Raw_Data!A270</f>
        <v>TRK100268</v>
      </c>
      <c r="B270" s="5" t="str">
        <f>TRIM(Raw_Data!B270)</f>
        <v>BlueDart</v>
      </c>
      <c r="C270" s="5" t="str">
        <f>TRIM(Raw_Data!C270)</f>
        <v>Tier 3</v>
      </c>
      <c r="D270" s="6">
        <f>DATEVALUE(TEXT(Raw_Data!D270, "YYYY-MM-DD"))</f>
        <v>46038</v>
      </c>
      <c r="E270" s="6">
        <f>IF(ISBLANK(Raw_Data!E270), "", DATEVALUE(TEXT(Raw_Data!E270, "YYYY-MM-DD")))</f>
        <v>46044</v>
      </c>
      <c r="F270" s="5">
        <f t="shared" si="1"/>
        <v>6</v>
      </c>
      <c r="G270" s="5">
        <f t="shared" si="2"/>
        <v>5</v>
      </c>
      <c r="H270" s="5" t="str">
        <f t="shared" si="3"/>
        <v>ON TIME</v>
      </c>
      <c r="I270" s="5">
        <f>Raw_Data!F270</f>
        <v>8976</v>
      </c>
      <c r="J270" s="5">
        <f t="shared" si="4"/>
        <v>0</v>
      </c>
    </row>
    <row r="271">
      <c r="A271" s="5" t="str">
        <f>Raw_Data!A271</f>
        <v>TRK100269</v>
      </c>
      <c r="B271" s="5" t="str">
        <f>TRIM(Raw_Data!B271)</f>
        <v>Delhivery</v>
      </c>
      <c r="C271" s="5" t="str">
        <f>TRIM(Raw_Data!C271)</f>
        <v>Tier 2</v>
      </c>
      <c r="D271" s="6">
        <f>DATEVALUE(TEXT(Raw_Data!D271, "YYYY-MM-DD"))</f>
        <v>46060</v>
      </c>
      <c r="E271" s="6">
        <f>IF(ISBLANK(Raw_Data!E271), "", DATEVALUE(TEXT(Raw_Data!E271, "YYYY-MM-DD")))</f>
        <v>46064</v>
      </c>
      <c r="F271" s="5">
        <f t="shared" si="1"/>
        <v>4</v>
      </c>
      <c r="G271" s="5">
        <f t="shared" si="2"/>
        <v>3</v>
      </c>
      <c r="H271" s="5" t="str">
        <f t="shared" si="3"/>
        <v>ON TIME</v>
      </c>
      <c r="I271" s="5">
        <f>Raw_Data!F271</f>
        <v>5311</v>
      </c>
      <c r="J271" s="5">
        <f t="shared" si="4"/>
        <v>0</v>
      </c>
    </row>
    <row r="272">
      <c r="A272" s="5" t="str">
        <f>Raw_Data!A272</f>
        <v>TRK100270</v>
      </c>
      <c r="B272" s="5" t="str">
        <f>TRIM(Raw_Data!B272)</f>
        <v>Delhivery</v>
      </c>
      <c r="C272" s="5" t="str">
        <f>TRIM(Raw_Data!C272)</f>
        <v>Tier 3</v>
      </c>
      <c r="D272" s="6">
        <f>DATEVALUE(TEXT(Raw_Data!D272, "YYYY-MM-DD"))</f>
        <v>46026</v>
      </c>
      <c r="E272" s="6">
        <f>IF(ISBLANK(Raw_Data!E272), "", DATEVALUE(TEXT(Raw_Data!E272, "YYYY-MM-DD")))</f>
        <v>46033</v>
      </c>
      <c r="F272" s="5">
        <f t="shared" si="1"/>
        <v>6</v>
      </c>
      <c r="G272" s="5">
        <f t="shared" si="2"/>
        <v>5</v>
      </c>
      <c r="H272" s="5" t="str">
        <f t="shared" si="3"/>
        <v>ON TIME</v>
      </c>
      <c r="I272" s="5">
        <f>Raw_Data!F272</f>
        <v>9454</v>
      </c>
      <c r="J272" s="5">
        <f t="shared" si="4"/>
        <v>0</v>
      </c>
    </row>
    <row r="273">
      <c r="A273" s="5" t="str">
        <f>Raw_Data!A273</f>
        <v>TRK100271</v>
      </c>
      <c r="B273" s="5" t="str">
        <f>TRIM(Raw_Data!B273)</f>
        <v>Delhivery</v>
      </c>
      <c r="C273" s="5" t="str">
        <f>TRIM(Raw_Data!C273)</f>
        <v>Tier 3</v>
      </c>
      <c r="D273" s="6">
        <f>DATEVALUE(TEXT(Raw_Data!D273, "YYYY-MM-DD"))</f>
        <v>46041</v>
      </c>
      <c r="E273" s="6">
        <f>IF(ISBLANK(Raw_Data!E273), "", DATEVALUE(TEXT(Raw_Data!E273, "YYYY-MM-DD")))</f>
        <v>46048</v>
      </c>
      <c r="F273" s="5">
        <f t="shared" si="1"/>
        <v>6</v>
      </c>
      <c r="G273" s="5">
        <f t="shared" si="2"/>
        <v>6</v>
      </c>
      <c r="H273" s="5" t="str">
        <f t="shared" si="3"/>
        <v>ON TIME</v>
      </c>
      <c r="I273" s="5">
        <f>Raw_Data!F273</f>
        <v>5846</v>
      </c>
      <c r="J273" s="5">
        <f t="shared" si="4"/>
        <v>0</v>
      </c>
    </row>
    <row r="274">
      <c r="A274" s="5" t="str">
        <f>Raw_Data!A274</f>
        <v>TRK100272</v>
      </c>
      <c r="B274" s="5" t="str">
        <f>TRIM(Raw_Data!B274)</f>
        <v>EcomExpress</v>
      </c>
      <c r="C274" s="5" t="str">
        <f>TRIM(Raw_Data!C274)</f>
        <v>Metro</v>
      </c>
      <c r="D274" s="6">
        <f>DATEVALUE(TEXT(Raw_Data!D274, "YYYY-MM-DD"))</f>
        <v>46061</v>
      </c>
      <c r="E274" s="6">
        <f>IF(ISBLANK(Raw_Data!E274), "", DATEVALUE(TEXT(Raw_Data!E274, "YYYY-MM-DD")))</f>
        <v>46065</v>
      </c>
      <c r="F274" s="5">
        <f t="shared" si="1"/>
        <v>2</v>
      </c>
      <c r="G274" s="5">
        <f t="shared" si="2"/>
        <v>4</v>
      </c>
      <c r="H274" s="5" t="str">
        <f t="shared" si="3"/>
        <v>SLA BREACH</v>
      </c>
      <c r="I274" s="5">
        <f>Raw_Data!F274</f>
        <v>5543</v>
      </c>
      <c r="J274" s="5">
        <f t="shared" si="4"/>
        <v>277.15</v>
      </c>
    </row>
    <row r="275">
      <c r="A275" s="5" t="str">
        <f>Raw_Data!A275</f>
        <v>TRK100273</v>
      </c>
      <c r="B275" s="5" t="str">
        <f>TRIM(Raw_Data!B275)</f>
        <v>BlueDart</v>
      </c>
      <c r="C275" s="5" t="str">
        <f>TRIM(Raw_Data!C275)</f>
        <v>Tier 2</v>
      </c>
      <c r="D275" s="6">
        <f>DATEVALUE(TEXT(Raw_Data!D275, "YYYY-MM-DD"))</f>
        <v>46066</v>
      </c>
      <c r="E275" s="6">
        <f>IF(ISBLANK(Raw_Data!E275), "", DATEVALUE(TEXT(Raw_Data!E275, "YYYY-MM-DD")))</f>
        <v>46072</v>
      </c>
      <c r="F275" s="5">
        <f t="shared" si="1"/>
        <v>4</v>
      </c>
      <c r="G275" s="5">
        <f t="shared" si="2"/>
        <v>5</v>
      </c>
      <c r="H275" s="5" t="str">
        <f t="shared" si="3"/>
        <v>SLA BREACH</v>
      </c>
      <c r="I275" s="5">
        <f>Raw_Data!F275</f>
        <v>2928</v>
      </c>
      <c r="J275" s="5">
        <f t="shared" si="4"/>
        <v>146.4</v>
      </c>
    </row>
    <row r="276">
      <c r="A276" s="5" t="str">
        <f>Raw_Data!A276</f>
        <v>TRK100274</v>
      </c>
      <c r="B276" s="5" t="str">
        <f>TRIM(Raw_Data!B276)</f>
        <v>BlueDart</v>
      </c>
      <c r="C276" s="5" t="str">
        <f>TRIM(Raw_Data!C276)</f>
        <v>Tier 3</v>
      </c>
      <c r="D276" s="6">
        <f>DATEVALUE(TEXT(Raw_Data!D276, "YYYY-MM-DD"))</f>
        <v>46041</v>
      </c>
      <c r="E276" s="6">
        <f>IF(ISBLANK(Raw_Data!E276), "", DATEVALUE(TEXT(Raw_Data!E276, "YYYY-MM-DD")))</f>
        <v>46047</v>
      </c>
      <c r="F276" s="5">
        <f t="shared" si="1"/>
        <v>6</v>
      </c>
      <c r="G276" s="5">
        <f t="shared" si="2"/>
        <v>5</v>
      </c>
      <c r="H276" s="5" t="str">
        <f t="shared" si="3"/>
        <v>ON TIME</v>
      </c>
      <c r="I276" s="5">
        <f>Raw_Data!F276</f>
        <v>11199</v>
      </c>
      <c r="J276" s="5">
        <f t="shared" si="4"/>
        <v>0</v>
      </c>
    </row>
    <row r="277">
      <c r="A277" s="5" t="str">
        <f>Raw_Data!A277</f>
        <v>TRK100275</v>
      </c>
      <c r="B277" s="5" t="str">
        <f>TRIM(Raw_Data!B277)</f>
        <v>BlueDart</v>
      </c>
      <c r="C277" s="5" t="str">
        <f>TRIM(Raw_Data!C277)</f>
        <v>Metro</v>
      </c>
      <c r="D277" s="6">
        <f>DATEVALUE(TEXT(Raw_Data!D277, "YYYY-MM-DD"))</f>
        <v>46023</v>
      </c>
      <c r="E277" s="6">
        <f>IF(ISBLANK(Raw_Data!E277), "", DATEVALUE(TEXT(Raw_Data!E277, "YYYY-MM-DD")))</f>
        <v>46025</v>
      </c>
      <c r="F277" s="5">
        <f t="shared" si="1"/>
        <v>2</v>
      </c>
      <c r="G277" s="5">
        <f t="shared" si="2"/>
        <v>2</v>
      </c>
      <c r="H277" s="5" t="str">
        <f t="shared" si="3"/>
        <v>ON TIME</v>
      </c>
      <c r="I277" s="5">
        <f>Raw_Data!F277</f>
        <v>5626</v>
      </c>
      <c r="J277" s="5">
        <f t="shared" si="4"/>
        <v>0</v>
      </c>
    </row>
    <row r="278">
      <c r="A278" s="5" t="str">
        <f>Raw_Data!A278</f>
        <v>TRK100276</v>
      </c>
      <c r="B278" s="5" t="str">
        <f>TRIM(Raw_Data!B278)</f>
        <v>BlueDart</v>
      </c>
      <c r="C278" s="5" t="str">
        <f>TRIM(Raw_Data!C278)</f>
        <v>Metro</v>
      </c>
      <c r="D278" s="6">
        <f>DATEVALUE(TEXT(Raw_Data!D278, "YYYY-MM-DD"))</f>
        <v>46050</v>
      </c>
      <c r="E278" s="6">
        <f>IF(ISBLANK(Raw_Data!E278), "", DATEVALUE(TEXT(Raw_Data!E278, "YYYY-MM-DD")))</f>
        <v>46053</v>
      </c>
      <c r="F278" s="5">
        <f t="shared" si="1"/>
        <v>2</v>
      </c>
      <c r="G278" s="5">
        <f t="shared" si="2"/>
        <v>3</v>
      </c>
      <c r="H278" s="5" t="str">
        <f t="shared" si="3"/>
        <v>SLA BREACH</v>
      </c>
      <c r="I278" s="5">
        <f>Raw_Data!F278</f>
        <v>8720</v>
      </c>
      <c r="J278" s="5">
        <f t="shared" si="4"/>
        <v>436</v>
      </c>
    </row>
    <row r="279">
      <c r="A279" s="5" t="str">
        <f>Raw_Data!A279</f>
        <v>TRK100277</v>
      </c>
      <c r="B279" s="5" t="str">
        <f>TRIM(Raw_Data!B279)</f>
        <v>BlueDart</v>
      </c>
      <c r="C279" s="5" t="str">
        <f>TRIM(Raw_Data!C279)</f>
        <v>Tier 2</v>
      </c>
      <c r="D279" s="6">
        <f>DATEVALUE(TEXT(Raw_Data!D279, "YYYY-MM-DD"))</f>
        <v>46079</v>
      </c>
      <c r="E279" s="6">
        <f>IF(ISBLANK(Raw_Data!E279), "", DATEVALUE(TEXT(Raw_Data!E279, "YYYY-MM-DD")))</f>
        <v>46083</v>
      </c>
      <c r="F279" s="5">
        <f t="shared" si="1"/>
        <v>4</v>
      </c>
      <c r="G279" s="5">
        <f t="shared" si="2"/>
        <v>3</v>
      </c>
      <c r="H279" s="5" t="str">
        <f t="shared" si="3"/>
        <v>ON TIME</v>
      </c>
      <c r="I279" s="5">
        <f>Raw_Data!F279</f>
        <v>9598</v>
      </c>
      <c r="J279" s="5">
        <f t="shared" si="4"/>
        <v>0</v>
      </c>
    </row>
    <row r="280">
      <c r="A280" s="5" t="str">
        <f>Raw_Data!A280</f>
        <v>TRK100278</v>
      </c>
      <c r="B280" s="5" t="str">
        <f>TRIM(Raw_Data!B280)</f>
        <v>EcomExpress</v>
      </c>
      <c r="C280" s="5" t="str">
        <f>TRIM(Raw_Data!C280)</f>
        <v>Tier 3</v>
      </c>
      <c r="D280" s="6">
        <f>DATEVALUE(TEXT(Raw_Data!D280, "YYYY-MM-DD"))</f>
        <v>46069</v>
      </c>
      <c r="E280" s="6">
        <f>IF(ISBLANK(Raw_Data!E280), "", DATEVALUE(TEXT(Raw_Data!E280, "YYYY-MM-DD")))</f>
        <v>46076</v>
      </c>
      <c r="F280" s="5">
        <f t="shared" si="1"/>
        <v>6</v>
      </c>
      <c r="G280" s="5">
        <f t="shared" si="2"/>
        <v>6</v>
      </c>
      <c r="H280" s="5" t="str">
        <f t="shared" si="3"/>
        <v>ON TIME</v>
      </c>
      <c r="I280" s="5">
        <f>Raw_Data!F280</f>
        <v>11796</v>
      </c>
      <c r="J280" s="5">
        <f t="shared" si="4"/>
        <v>0</v>
      </c>
    </row>
    <row r="281">
      <c r="A281" s="5" t="str">
        <f>Raw_Data!A281</f>
        <v>TRK100279</v>
      </c>
      <c r="B281" s="5" t="str">
        <f>TRIM(Raw_Data!B281)</f>
        <v>Delhivery</v>
      </c>
      <c r="C281" s="5" t="str">
        <f>TRIM(Raw_Data!C281)</f>
        <v>Tier 2</v>
      </c>
      <c r="D281" s="6">
        <f>DATEVALUE(TEXT(Raw_Data!D281, "YYYY-MM-DD"))</f>
        <v>46071</v>
      </c>
      <c r="E281" s="6">
        <f>IF(ISBLANK(Raw_Data!E281), "", DATEVALUE(TEXT(Raw_Data!E281, "YYYY-MM-DD")))</f>
        <v>46076</v>
      </c>
      <c r="F281" s="5">
        <f t="shared" si="1"/>
        <v>4</v>
      </c>
      <c r="G281" s="5">
        <f t="shared" si="2"/>
        <v>4</v>
      </c>
      <c r="H281" s="5" t="str">
        <f t="shared" si="3"/>
        <v>ON TIME</v>
      </c>
      <c r="I281" s="5">
        <f>Raw_Data!F281</f>
        <v>8313</v>
      </c>
      <c r="J281" s="5">
        <f t="shared" si="4"/>
        <v>0</v>
      </c>
    </row>
    <row r="282">
      <c r="A282" s="5" t="str">
        <f>Raw_Data!A282</f>
        <v>TRK100280</v>
      </c>
      <c r="B282" s="5" t="str">
        <f>TRIM(Raw_Data!B282)</f>
        <v>EcomExpress</v>
      </c>
      <c r="C282" s="5" t="str">
        <f>TRIM(Raw_Data!C282)</f>
        <v>Tier 2</v>
      </c>
      <c r="D282" s="6">
        <f>DATEVALUE(TEXT(Raw_Data!D282, "YYYY-MM-DD"))</f>
        <v>46046</v>
      </c>
      <c r="E282" s="6">
        <f>IF(ISBLANK(Raw_Data!E282), "", DATEVALUE(TEXT(Raw_Data!E282, "YYYY-MM-DD")))</f>
        <v>46052</v>
      </c>
      <c r="F282" s="5">
        <f t="shared" si="1"/>
        <v>4</v>
      </c>
      <c r="G282" s="5">
        <f t="shared" si="2"/>
        <v>5</v>
      </c>
      <c r="H282" s="5" t="str">
        <f t="shared" si="3"/>
        <v>SLA BREACH</v>
      </c>
      <c r="I282" s="5">
        <f>Raw_Data!F282</f>
        <v>11686</v>
      </c>
      <c r="J282" s="5">
        <f t="shared" si="4"/>
        <v>584.3</v>
      </c>
    </row>
    <row r="283">
      <c r="A283" s="5" t="str">
        <f>Raw_Data!A283</f>
        <v>TRK100281</v>
      </c>
      <c r="B283" s="5" t="str">
        <f>TRIM(Raw_Data!B283)</f>
        <v>EcomExpress</v>
      </c>
      <c r="C283" s="5" t="str">
        <f>TRIM(Raw_Data!C283)</f>
        <v>Tier 2</v>
      </c>
      <c r="D283" s="6">
        <f>DATEVALUE(TEXT(Raw_Data!D283, "YYYY-MM-DD"))</f>
        <v>46048</v>
      </c>
      <c r="E283" s="6">
        <f>IF(ISBLANK(Raw_Data!E283), "", DATEVALUE(TEXT(Raw_Data!E283, "YYYY-MM-DD")))</f>
        <v>46052</v>
      </c>
      <c r="F283" s="5">
        <f t="shared" si="1"/>
        <v>4</v>
      </c>
      <c r="G283" s="5">
        <f t="shared" si="2"/>
        <v>5</v>
      </c>
      <c r="H283" s="5" t="str">
        <f t="shared" si="3"/>
        <v>SLA BREACH</v>
      </c>
      <c r="I283" s="5">
        <f>Raw_Data!F283</f>
        <v>11198</v>
      </c>
      <c r="J283" s="5">
        <f t="shared" si="4"/>
        <v>559.9</v>
      </c>
    </row>
    <row r="284">
      <c r="A284" s="5" t="str">
        <f>Raw_Data!A284</f>
        <v>TRK100282</v>
      </c>
      <c r="B284" s="5" t="str">
        <f>TRIM(Raw_Data!B284)</f>
        <v>EcomExpress</v>
      </c>
      <c r="C284" s="5" t="str">
        <f>TRIM(Raw_Data!C284)</f>
        <v>Tier 3</v>
      </c>
      <c r="D284" s="6">
        <f>DATEVALUE(TEXT(Raw_Data!D284, "YYYY-MM-DD"))</f>
        <v>46059</v>
      </c>
      <c r="E284" s="6">
        <f>IF(ISBLANK(Raw_Data!E284), "", DATEVALUE(TEXT(Raw_Data!E284, "YYYY-MM-DD")))</f>
        <v>46065</v>
      </c>
      <c r="F284" s="5">
        <f t="shared" si="1"/>
        <v>6</v>
      </c>
      <c r="G284" s="5">
        <f t="shared" si="2"/>
        <v>5</v>
      </c>
      <c r="H284" s="5" t="str">
        <f t="shared" si="3"/>
        <v>ON TIME</v>
      </c>
      <c r="I284" s="5">
        <f>Raw_Data!F284</f>
        <v>10145</v>
      </c>
      <c r="J284" s="5">
        <f t="shared" si="4"/>
        <v>0</v>
      </c>
    </row>
    <row r="285">
      <c r="A285" s="5" t="str">
        <f>Raw_Data!A285</f>
        <v>TRK100283</v>
      </c>
      <c r="B285" s="5" t="str">
        <f>TRIM(Raw_Data!B285)</f>
        <v>Delhivery</v>
      </c>
      <c r="C285" s="5" t="str">
        <f>TRIM(Raw_Data!C285)</f>
        <v>Metro</v>
      </c>
      <c r="D285" s="6">
        <f>DATEVALUE(TEXT(Raw_Data!D285, "YYYY-MM-DD"))</f>
        <v>46035</v>
      </c>
      <c r="E285" s="6">
        <f>IF(ISBLANK(Raw_Data!E285), "", DATEVALUE(TEXT(Raw_Data!E285, "YYYY-MM-DD")))</f>
        <v>46037</v>
      </c>
      <c r="F285" s="5">
        <f t="shared" si="1"/>
        <v>2</v>
      </c>
      <c r="G285" s="5">
        <f t="shared" si="2"/>
        <v>3</v>
      </c>
      <c r="H285" s="5" t="str">
        <f t="shared" si="3"/>
        <v>SLA BREACH</v>
      </c>
      <c r="I285" s="5">
        <f>Raw_Data!F285</f>
        <v>3856</v>
      </c>
      <c r="J285" s="5">
        <f t="shared" si="4"/>
        <v>192.8</v>
      </c>
    </row>
    <row r="286">
      <c r="A286" s="5" t="str">
        <f>Raw_Data!A286</f>
        <v>TRK100284</v>
      </c>
      <c r="B286" s="5" t="str">
        <f>TRIM(Raw_Data!B286)</f>
        <v>Delhivery</v>
      </c>
      <c r="C286" s="5" t="str">
        <f>TRIM(Raw_Data!C286)</f>
        <v>Tier 2</v>
      </c>
      <c r="D286" s="6">
        <f>DATEVALUE(TEXT(Raw_Data!D286, "YYYY-MM-DD"))</f>
        <v>46058</v>
      </c>
      <c r="E286" s="6">
        <f>IF(ISBLANK(Raw_Data!E286), "", DATEVALUE(TEXT(Raw_Data!E286, "YYYY-MM-DD")))</f>
        <v>46062</v>
      </c>
      <c r="F286" s="5">
        <f t="shared" si="1"/>
        <v>4</v>
      </c>
      <c r="G286" s="5">
        <f t="shared" si="2"/>
        <v>3</v>
      </c>
      <c r="H286" s="5" t="str">
        <f t="shared" si="3"/>
        <v>ON TIME</v>
      </c>
      <c r="I286" s="5">
        <f>Raw_Data!F286</f>
        <v>9207</v>
      </c>
      <c r="J286" s="5">
        <f t="shared" si="4"/>
        <v>0</v>
      </c>
    </row>
    <row r="287">
      <c r="A287" s="5" t="str">
        <f>Raw_Data!A287</f>
        <v>TRK100285</v>
      </c>
      <c r="B287" s="5" t="str">
        <f>TRIM(Raw_Data!B287)</f>
        <v>BlueDart</v>
      </c>
      <c r="C287" s="5" t="str">
        <f>TRIM(Raw_Data!C287)</f>
        <v>Tier 2</v>
      </c>
      <c r="D287" s="6">
        <f>DATEVALUE(TEXT(Raw_Data!D287, "YYYY-MM-DD"))</f>
        <v>46027</v>
      </c>
      <c r="E287" s="6">
        <f>IF(ISBLANK(Raw_Data!E287), "", DATEVALUE(TEXT(Raw_Data!E287, "YYYY-MM-DD")))</f>
        <v>46031</v>
      </c>
      <c r="F287" s="5">
        <f t="shared" si="1"/>
        <v>4</v>
      </c>
      <c r="G287" s="5">
        <f t="shared" si="2"/>
        <v>5</v>
      </c>
      <c r="H287" s="5" t="str">
        <f t="shared" si="3"/>
        <v>SLA BREACH</v>
      </c>
      <c r="I287" s="5">
        <f>Raw_Data!F287</f>
        <v>7766</v>
      </c>
      <c r="J287" s="5">
        <f t="shared" si="4"/>
        <v>388.3</v>
      </c>
    </row>
    <row r="288">
      <c r="A288" s="5" t="str">
        <f>Raw_Data!A288</f>
        <v>TRK100286</v>
      </c>
      <c r="B288" s="5" t="str">
        <f>TRIM(Raw_Data!B288)</f>
        <v>EcomExpress</v>
      </c>
      <c r="C288" s="5" t="str">
        <f>TRIM(Raw_Data!C288)</f>
        <v>Tier 3</v>
      </c>
      <c r="D288" s="6">
        <f>DATEVALUE(TEXT(Raw_Data!D288, "YYYY-MM-DD"))</f>
        <v>46055</v>
      </c>
      <c r="E288" s="6">
        <f>IF(ISBLANK(Raw_Data!E288), "", DATEVALUE(TEXT(Raw_Data!E288, "YYYY-MM-DD")))</f>
        <v>46061</v>
      </c>
      <c r="F288" s="5">
        <f t="shared" si="1"/>
        <v>6</v>
      </c>
      <c r="G288" s="5">
        <f t="shared" si="2"/>
        <v>5</v>
      </c>
      <c r="H288" s="5" t="str">
        <f t="shared" si="3"/>
        <v>ON TIME</v>
      </c>
      <c r="I288" s="5">
        <f>Raw_Data!F288</f>
        <v>7040</v>
      </c>
      <c r="J288" s="5">
        <f t="shared" si="4"/>
        <v>0</v>
      </c>
    </row>
    <row r="289">
      <c r="A289" s="5" t="str">
        <f>Raw_Data!A289</f>
        <v>TRK100287</v>
      </c>
      <c r="B289" s="5" t="str">
        <f>TRIM(Raw_Data!B289)</f>
        <v>BlueDart</v>
      </c>
      <c r="C289" s="5" t="str">
        <f>TRIM(Raw_Data!C289)</f>
        <v>Tier 3</v>
      </c>
      <c r="D289" s="6">
        <f>DATEVALUE(TEXT(Raw_Data!D289, "YYYY-MM-DD"))</f>
        <v>46071</v>
      </c>
      <c r="E289" s="6">
        <f>IF(ISBLANK(Raw_Data!E289), "", DATEVALUE(TEXT(Raw_Data!E289, "YYYY-MM-DD")))</f>
        <v>46077</v>
      </c>
      <c r="F289" s="5">
        <f t="shared" si="1"/>
        <v>6</v>
      </c>
      <c r="G289" s="5">
        <f t="shared" si="2"/>
        <v>5</v>
      </c>
      <c r="H289" s="5" t="str">
        <f t="shared" si="3"/>
        <v>ON TIME</v>
      </c>
      <c r="I289" s="5">
        <f>Raw_Data!F289</f>
        <v>538</v>
      </c>
      <c r="J289" s="5">
        <f t="shared" si="4"/>
        <v>0</v>
      </c>
    </row>
    <row r="290">
      <c r="A290" s="5" t="str">
        <f>Raw_Data!A290</f>
        <v>TRK100288</v>
      </c>
      <c r="B290" s="5" t="str">
        <f>TRIM(Raw_Data!B290)</f>
        <v>Delhivery</v>
      </c>
      <c r="C290" s="5" t="str">
        <f>TRIM(Raw_Data!C290)</f>
        <v>Metro</v>
      </c>
      <c r="D290" s="6">
        <f>DATEVALUE(TEXT(Raw_Data!D290, "YYYY-MM-DD"))</f>
        <v>46040</v>
      </c>
      <c r="E290" s="6">
        <f>IF(ISBLANK(Raw_Data!E290), "", DATEVALUE(TEXT(Raw_Data!E290, "YYYY-MM-DD")))</f>
        <v>46042</v>
      </c>
      <c r="F290" s="5">
        <f t="shared" si="1"/>
        <v>2</v>
      </c>
      <c r="G290" s="5">
        <f t="shared" si="2"/>
        <v>2</v>
      </c>
      <c r="H290" s="5" t="str">
        <f t="shared" si="3"/>
        <v>ON TIME</v>
      </c>
      <c r="I290" s="5">
        <f>Raw_Data!F290</f>
        <v>3842</v>
      </c>
      <c r="J290" s="5">
        <f t="shared" si="4"/>
        <v>0</v>
      </c>
    </row>
    <row r="291">
      <c r="A291" s="5" t="str">
        <f>Raw_Data!A291</f>
        <v>TRK100289</v>
      </c>
      <c r="B291" s="5" t="str">
        <f>TRIM(Raw_Data!B291)</f>
        <v>Delhivery</v>
      </c>
      <c r="C291" s="5" t="str">
        <f>TRIM(Raw_Data!C291)</f>
        <v>Metro</v>
      </c>
      <c r="D291" s="6">
        <f>DATEVALUE(TEXT(Raw_Data!D291, "YYYY-MM-DD"))</f>
        <v>46066</v>
      </c>
      <c r="E291" s="6" t="str">
        <f>IF(ISBLANK(Raw_Data!E291), "", DATEVALUE(TEXT(Raw_Data!E291, "YYYY-MM-DD")))</f>
        <v/>
      </c>
      <c r="F291" s="5">
        <f t="shared" si="1"/>
        <v>2</v>
      </c>
      <c r="G291" s="5" t="str">
        <f t="shared" si="2"/>
        <v>In-Transit</v>
      </c>
      <c r="H291" s="5" t="str">
        <f t="shared" si="3"/>
        <v>Pending</v>
      </c>
      <c r="I291" s="5">
        <f>Raw_Data!F291</f>
        <v>9578</v>
      </c>
      <c r="J291" s="5">
        <f t="shared" si="4"/>
        <v>0</v>
      </c>
    </row>
    <row r="292">
      <c r="A292" s="5" t="str">
        <f>Raw_Data!A292</f>
        <v>TRK100290</v>
      </c>
      <c r="B292" s="5" t="str">
        <f>TRIM(Raw_Data!B292)</f>
        <v>Delhivery</v>
      </c>
      <c r="C292" s="5" t="str">
        <f>TRIM(Raw_Data!C292)</f>
        <v>Tier 2</v>
      </c>
      <c r="D292" s="6">
        <f>DATEVALUE(TEXT(Raw_Data!D292, "YYYY-MM-DD"))</f>
        <v>46030</v>
      </c>
      <c r="E292" s="6">
        <f>IF(ISBLANK(Raw_Data!E292), "", DATEVALUE(TEXT(Raw_Data!E292, "YYYY-MM-DD")))</f>
        <v>46034</v>
      </c>
      <c r="F292" s="5">
        <f t="shared" si="1"/>
        <v>4</v>
      </c>
      <c r="G292" s="5">
        <f t="shared" si="2"/>
        <v>3</v>
      </c>
      <c r="H292" s="5" t="str">
        <f t="shared" si="3"/>
        <v>ON TIME</v>
      </c>
      <c r="I292" s="5">
        <f>Raw_Data!F292</f>
        <v>3344</v>
      </c>
      <c r="J292" s="5">
        <f t="shared" si="4"/>
        <v>0</v>
      </c>
    </row>
    <row r="293">
      <c r="A293" s="5" t="str">
        <f>Raw_Data!A293</f>
        <v>TRK100291</v>
      </c>
      <c r="B293" s="5" t="str">
        <f>TRIM(Raw_Data!B293)</f>
        <v>Delhivery</v>
      </c>
      <c r="C293" s="5" t="str">
        <f>TRIM(Raw_Data!C293)</f>
        <v>Tier 2</v>
      </c>
      <c r="D293" s="6">
        <f>DATEVALUE(TEXT(Raw_Data!D293, "YYYY-MM-DD"))</f>
        <v>46029</v>
      </c>
      <c r="E293" s="6">
        <f>IF(ISBLANK(Raw_Data!E293), "", DATEVALUE(TEXT(Raw_Data!E293, "YYYY-MM-DD")))</f>
        <v>46033</v>
      </c>
      <c r="F293" s="5">
        <f t="shared" si="1"/>
        <v>4</v>
      </c>
      <c r="G293" s="5">
        <f t="shared" si="2"/>
        <v>3</v>
      </c>
      <c r="H293" s="5" t="str">
        <f t="shared" si="3"/>
        <v>ON TIME</v>
      </c>
      <c r="I293" s="5">
        <f>Raw_Data!F293</f>
        <v>10896</v>
      </c>
      <c r="J293" s="5">
        <f t="shared" si="4"/>
        <v>0</v>
      </c>
    </row>
    <row r="294">
      <c r="A294" s="5" t="str">
        <f>Raw_Data!A294</f>
        <v>TRK100292</v>
      </c>
      <c r="B294" s="5" t="str">
        <f>TRIM(Raw_Data!B294)</f>
        <v>EcomExpress</v>
      </c>
      <c r="C294" s="5" t="str">
        <f>TRIM(Raw_Data!C294)</f>
        <v>Tier 3</v>
      </c>
      <c r="D294" s="6">
        <f>DATEVALUE(TEXT(Raw_Data!D294, "YYYY-MM-DD"))</f>
        <v>46046</v>
      </c>
      <c r="E294" s="6">
        <f>IF(ISBLANK(Raw_Data!E294), "", DATEVALUE(TEXT(Raw_Data!E294, "YYYY-MM-DD")))</f>
        <v>46054</v>
      </c>
      <c r="F294" s="5">
        <f t="shared" si="1"/>
        <v>6</v>
      </c>
      <c r="G294" s="5">
        <f t="shared" si="2"/>
        <v>5</v>
      </c>
      <c r="H294" s="5" t="str">
        <f t="shared" si="3"/>
        <v>ON TIME</v>
      </c>
      <c r="I294" s="5">
        <f>Raw_Data!F294</f>
        <v>1598</v>
      </c>
      <c r="J294" s="5">
        <f t="shared" si="4"/>
        <v>0</v>
      </c>
    </row>
    <row r="295">
      <c r="A295" s="5" t="str">
        <f>Raw_Data!A295</f>
        <v>TRK100293</v>
      </c>
      <c r="B295" s="5" t="str">
        <f>TRIM(Raw_Data!B295)</f>
        <v>BlueDart</v>
      </c>
      <c r="C295" s="5" t="str">
        <f>TRIM(Raw_Data!C295)</f>
        <v>Tier 2</v>
      </c>
      <c r="D295" s="6">
        <f>DATEVALUE(TEXT(Raw_Data!D295, "YYYY-MM-DD"))</f>
        <v>46044</v>
      </c>
      <c r="E295" s="6">
        <f>IF(ISBLANK(Raw_Data!E295), "", DATEVALUE(TEXT(Raw_Data!E295, "YYYY-MM-DD")))</f>
        <v>46048</v>
      </c>
      <c r="F295" s="5">
        <f t="shared" si="1"/>
        <v>4</v>
      </c>
      <c r="G295" s="5">
        <f t="shared" si="2"/>
        <v>3</v>
      </c>
      <c r="H295" s="5" t="str">
        <f t="shared" si="3"/>
        <v>ON TIME</v>
      </c>
      <c r="I295" s="5">
        <f>Raw_Data!F295</f>
        <v>7527</v>
      </c>
      <c r="J295" s="5">
        <f t="shared" si="4"/>
        <v>0</v>
      </c>
    </row>
    <row r="296">
      <c r="A296" s="5" t="str">
        <f>Raw_Data!A296</f>
        <v>TRK100294</v>
      </c>
      <c r="B296" s="5" t="str">
        <f>TRIM(Raw_Data!B296)</f>
        <v>Delhivery</v>
      </c>
      <c r="C296" s="5" t="str">
        <f>TRIM(Raw_Data!C296)</f>
        <v>Tier 3</v>
      </c>
      <c r="D296" s="6">
        <f>DATEVALUE(TEXT(Raw_Data!D296, "YYYY-MM-DD"))</f>
        <v>46083</v>
      </c>
      <c r="E296" s="6">
        <f>IF(ISBLANK(Raw_Data!E296), "", DATEVALUE(TEXT(Raw_Data!E296, "YYYY-MM-DD")))</f>
        <v>46089</v>
      </c>
      <c r="F296" s="5">
        <f t="shared" si="1"/>
        <v>6</v>
      </c>
      <c r="G296" s="5">
        <f t="shared" si="2"/>
        <v>5</v>
      </c>
      <c r="H296" s="5" t="str">
        <f t="shared" si="3"/>
        <v>ON TIME</v>
      </c>
      <c r="I296" s="5">
        <f>Raw_Data!F296</f>
        <v>2323</v>
      </c>
      <c r="J296" s="5">
        <f t="shared" si="4"/>
        <v>0</v>
      </c>
    </row>
    <row r="297">
      <c r="A297" s="5" t="str">
        <f>Raw_Data!A297</f>
        <v>TRK100295</v>
      </c>
      <c r="B297" s="5" t="str">
        <f>TRIM(Raw_Data!B297)</f>
        <v>BlueDart</v>
      </c>
      <c r="C297" s="5" t="str">
        <f>TRIM(Raw_Data!C297)</f>
        <v>Tier 2</v>
      </c>
      <c r="D297" s="6">
        <f>DATEVALUE(TEXT(Raw_Data!D297, "YYYY-MM-DD"))</f>
        <v>46071</v>
      </c>
      <c r="E297" s="6">
        <f>IF(ISBLANK(Raw_Data!E297), "", DATEVALUE(TEXT(Raw_Data!E297, "YYYY-MM-DD")))</f>
        <v>46075</v>
      </c>
      <c r="F297" s="5">
        <f t="shared" si="1"/>
        <v>4</v>
      </c>
      <c r="G297" s="5">
        <f t="shared" si="2"/>
        <v>3</v>
      </c>
      <c r="H297" s="5" t="str">
        <f t="shared" si="3"/>
        <v>ON TIME</v>
      </c>
      <c r="I297" s="5">
        <f>Raw_Data!F297</f>
        <v>11893</v>
      </c>
      <c r="J297" s="5">
        <f t="shared" si="4"/>
        <v>0</v>
      </c>
    </row>
    <row r="298">
      <c r="A298" s="5" t="str">
        <f>Raw_Data!A298</f>
        <v>TRK100296</v>
      </c>
      <c r="B298" s="5" t="str">
        <f>TRIM(Raw_Data!B298)</f>
        <v>Delhivery</v>
      </c>
      <c r="C298" s="5" t="str">
        <f>TRIM(Raw_Data!C298)</f>
        <v>Tier 3</v>
      </c>
      <c r="D298" s="6">
        <f>DATEVALUE(TEXT(Raw_Data!D298, "YYYY-MM-DD"))</f>
        <v>46035</v>
      </c>
      <c r="E298" s="6">
        <f>IF(ISBLANK(Raw_Data!E298), "", DATEVALUE(TEXT(Raw_Data!E298, "YYYY-MM-DD")))</f>
        <v>46042</v>
      </c>
      <c r="F298" s="5">
        <f t="shared" si="1"/>
        <v>6</v>
      </c>
      <c r="G298" s="5">
        <f t="shared" si="2"/>
        <v>6</v>
      </c>
      <c r="H298" s="5" t="str">
        <f t="shared" si="3"/>
        <v>ON TIME</v>
      </c>
      <c r="I298" s="5">
        <f>Raw_Data!F298</f>
        <v>3655</v>
      </c>
      <c r="J298" s="5">
        <f t="shared" si="4"/>
        <v>0</v>
      </c>
    </row>
    <row r="299">
      <c r="A299" s="5" t="str">
        <f>Raw_Data!A299</f>
        <v>TRK100297</v>
      </c>
      <c r="B299" s="5" t="str">
        <f>TRIM(Raw_Data!B299)</f>
        <v>BlueDart</v>
      </c>
      <c r="C299" s="5" t="str">
        <f>TRIM(Raw_Data!C299)</f>
        <v>Tier 2</v>
      </c>
      <c r="D299" s="6">
        <f>DATEVALUE(TEXT(Raw_Data!D299, "YYYY-MM-DD"))</f>
        <v>46055</v>
      </c>
      <c r="E299" s="6">
        <f>IF(ISBLANK(Raw_Data!E299), "", DATEVALUE(TEXT(Raw_Data!E299, "YYYY-MM-DD")))</f>
        <v>46059</v>
      </c>
      <c r="F299" s="5">
        <f t="shared" si="1"/>
        <v>4</v>
      </c>
      <c r="G299" s="5">
        <f t="shared" si="2"/>
        <v>5</v>
      </c>
      <c r="H299" s="5" t="str">
        <f t="shared" si="3"/>
        <v>SLA BREACH</v>
      </c>
      <c r="I299" s="5">
        <f>Raw_Data!F299</f>
        <v>3593</v>
      </c>
      <c r="J299" s="5">
        <f t="shared" si="4"/>
        <v>179.65</v>
      </c>
    </row>
    <row r="300">
      <c r="A300" s="5" t="str">
        <f>Raw_Data!A300</f>
        <v>TRK100298</v>
      </c>
      <c r="B300" s="5" t="str">
        <f>TRIM(Raw_Data!B300)</f>
        <v>BlueDart</v>
      </c>
      <c r="C300" s="5" t="str">
        <f>TRIM(Raw_Data!C300)</f>
        <v>Tier 2</v>
      </c>
      <c r="D300" s="6">
        <f>DATEVALUE(TEXT(Raw_Data!D300, "YYYY-MM-DD"))</f>
        <v>46055</v>
      </c>
      <c r="E300" s="6">
        <f>IF(ISBLANK(Raw_Data!E300), "", DATEVALUE(TEXT(Raw_Data!E300, "YYYY-MM-DD")))</f>
        <v>46059</v>
      </c>
      <c r="F300" s="5">
        <f t="shared" si="1"/>
        <v>4</v>
      </c>
      <c r="G300" s="5">
        <f t="shared" si="2"/>
        <v>5</v>
      </c>
      <c r="H300" s="5" t="str">
        <f t="shared" si="3"/>
        <v>SLA BREACH</v>
      </c>
      <c r="I300" s="5">
        <f>Raw_Data!F300</f>
        <v>6158</v>
      </c>
      <c r="J300" s="5">
        <f t="shared" si="4"/>
        <v>307.9</v>
      </c>
    </row>
    <row r="301">
      <c r="A301" s="5" t="str">
        <f>Raw_Data!A301</f>
        <v>TRK100299</v>
      </c>
      <c r="B301" s="5" t="str">
        <f>TRIM(Raw_Data!B301)</f>
        <v>Delhivery</v>
      </c>
      <c r="C301" s="5" t="str">
        <f>TRIM(Raw_Data!C301)</f>
        <v>Tier 2</v>
      </c>
      <c r="D301" s="6">
        <f>DATEVALUE(TEXT(Raw_Data!D301, "YYYY-MM-DD"))</f>
        <v>46025</v>
      </c>
      <c r="E301" s="6">
        <f>IF(ISBLANK(Raw_Data!E301), "", DATEVALUE(TEXT(Raw_Data!E301, "YYYY-MM-DD")))</f>
        <v>46029</v>
      </c>
      <c r="F301" s="5">
        <f t="shared" si="1"/>
        <v>4</v>
      </c>
      <c r="G301" s="5">
        <f t="shared" si="2"/>
        <v>3</v>
      </c>
      <c r="H301" s="5" t="str">
        <f t="shared" si="3"/>
        <v>ON TIME</v>
      </c>
      <c r="I301" s="5">
        <f>Raw_Data!F301</f>
        <v>4278</v>
      </c>
      <c r="J301" s="5">
        <f t="shared" si="4"/>
        <v>0</v>
      </c>
    </row>
    <row r="302">
      <c r="A302" s="5" t="str">
        <f>Raw_Data!A302</f>
        <v>TRK100300</v>
      </c>
      <c r="B302" s="5" t="str">
        <f>TRIM(Raw_Data!B302)</f>
        <v>Delhivery</v>
      </c>
      <c r="C302" s="5" t="str">
        <f>TRIM(Raw_Data!C302)</f>
        <v>Metro</v>
      </c>
      <c r="D302" s="6">
        <f>DATEVALUE(TEXT(Raw_Data!D302, "YYYY-MM-DD"))</f>
        <v>46031</v>
      </c>
      <c r="E302" s="6">
        <f>IF(ISBLANK(Raw_Data!E302), "", DATEVALUE(TEXT(Raw_Data!E302, "YYYY-MM-DD")))</f>
        <v>46033</v>
      </c>
      <c r="F302" s="5">
        <f t="shared" si="1"/>
        <v>2</v>
      </c>
      <c r="G302" s="5">
        <f t="shared" si="2"/>
        <v>1</v>
      </c>
      <c r="H302" s="5" t="str">
        <f t="shared" si="3"/>
        <v>ON TIME</v>
      </c>
      <c r="I302" s="5">
        <f>Raw_Data!F302</f>
        <v>3396</v>
      </c>
      <c r="J302" s="5">
        <f t="shared" si="4"/>
        <v>0</v>
      </c>
    </row>
    <row r="303">
      <c r="A303" s="5" t="str">
        <f>Raw_Data!A303</f>
        <v>TRK100301</v>
      </c>
      <c r="B303" s="5" t="str">
        <f>TRIM(Raw_Data!B303)</f>
        <v>BlueDart</v>
      </c>
      <c r="C303" s="5" t="str">
        <f>TRIM(Raw_Data!C303)</f>
        <v>Tier 2</v>
      </c>
      <c r="D303" s="6">
        <f>DATEVALUE(TEXT(Raw_Data!D303, "YYYY-MM-DD"))</f>
        <v>46044</v>
      </c>
      <c r="E303" s="6">
        <f>IF(ISBLANK(Raw_Data!E303), "", DATEVALUE(TEXT(Raw_Data!E303, "YYYY-MM-DD")))</f>
        <v>46048</v>
      </c>
      <c r="F303" s="5">
        <f t="shared" si="1"/>
        <v>4</v>
      </c>
      <c r="G303" s="5">
        <f t="shared" si="2"/>
        <v>3</v>
      </c>
      <c r="H303" s="5" t="str">
        <f t="shared" si="3"/>
        <v>ON TIME</v>
      </c>
      <c r="I303" s="5">
        <f>Raw_Data!F303</f>
        <v>1488</v>
      </c>
      <c r="J303" s="5">
        <f t="shared" si="4"/>
        <v>0</v>
      </c>
    </row>
    <row r="304">
      <c r="A304" s="5" t="str">
        <f>Raw_Data!A304</f>
        <v>TRK100302</v>
      </c>
      <c r="B304" s="5" t="str">
        <f>TRIM(Raw_Data!B304)</f>
        <v>EcomExpress</v>
      </c>
      <c r="C304" s="5" t="str">
        <f>TRIM(Raw_Data!C304)</f>
        <v>Tier 2</v>
      </c>
      <c r="D304" s="6">
        <f>DATEVALUE(TEXT(Raw_Data!D304, "YYYY-MM-DD"))</f>
        <v>46053</v>
      </c>
      <c r="E304" s="6">
        <f>IF(ISBLANK(Raw_Data!E304), "", DATEVALUE(TEXT(Raw_Data!E304, "YYYY-MM-DD")))</f>
        <v>46057</v>
      </c>
      <c r="F304" s="5">
        <f t="shared" si="1"/>
        <v>4</v>
      </c>
      <c r="G304" s="5">
        <f t="shared" si="2"/>
        <v>3</v>
      </c>
      <c r="H304" s="5" t="str">
        <f t="shared" si="3"/>
        <v>ON TIME</v>
      </c>
      <c r="I304" s="5">
        <f>Raw_Data!F304</f>
        <v>4616</v>
      </c>
      <c r="J304" s="5">
        <f t="shared" si="4"/>
        <v>0</v>
      </c>
    </row>
    <row r="305">
      <c r="A305" s="5" t="str">
        <f>Raw_Data!A305</f>
        <v>TRK100303</v>
      </c>
      <c r="B305" s="5" t="str">
        <f>TRIM(Raw_Data!B305)</f>
        <v>Delhivery</v>
      </c>
      <c r="C305" s="5" t="str">
        <f>TRIM(Raw_Data!C305)</f>
        <v>Metro</v>
      </c>
      <c r="D305" s="6">
        <f>DATEVALUE(TEXT(Raw_Data!D305, "YYYY-MM-DD"))</f>
        <v>46052</v>
      </c>
      <c r="E305" s="6">
        <f>IF(ISBLANK(Raw_Data!E305), "", DATEVALUE(TEXT(Raw_Data!E305, "YYYY-MM-DD")))</f>
        <v>46054</v>
      </c>
      <c r="F305" s="5">
        <f t="shared" si="1"/>
        <v>2</v>
      </c>
      <c r="G305" s="5">
        <f t="shared" si="2"/>
        <v>1</v>
      </c>
      <c r="H305" s="5" t="str">
        <f t="shared" si="3"/>
        <v>ON TIME</v>
      </c>
      <c r="I305" s="5">
        <f>Raw_Data!F305</f>
        <v>6946</v>
      </c>
      <c r="J305" s="5">
        <f t="shared" si="4"/>
        <v>0</v>
      </c>
    </row>
    <row r="306">
      <c r="A306" s="5" t="str">
        <f>Raw_Data!A306</f>
        <v>TRK100304</v>
      </c>
      <c r="B306" s="5" t="str">
        <f>TRIM(Raw_Data!B306)</f>
        <v>Delhivery</v>
      </c>
      <c r="C306" s="5" t="str">
        <f>TRIM(Raw_Data!C306)</f>
        <v>Metro</v>
      </c>
      <c r="D306" s="6">
        <f>DATEVALUE(TEXT(Raw_Data!D306, "YYYY-MM-DD"))</f>
        <v>46061</v>
      </c>
      <c r="E306" s="6">
        <f>IF(ISBLANK(Raw_Data!E306), "", DATEVALUE(TEXT(Raw_Data!E306, "YYYY-MM-DD")))</f>
        <v>46064</v>
      </c>
      <c r="F306" s="5">
        <f t="shared" si="1"/>
        <v>2</v>
      </c>
      <c r="G306" s="5">
        <f t="shared" si="2"/>
        <v>3</v>
      </c>
      <c r="H306" s="5" t="str">
        <f t="shared" si="3"/>
        <v>SLA BREACH</v>
      </c>
      <c r="I306" s="5">
        <f>Raw_Data!F306</f>
        <v>4679</v>
      </c>
      <c r="J306" s="5">
        <f t="shared" si="4"/>
        <v>233.95</v>
      </c>
    </row>
    <row r="307">
      <c r="A307" s="5" t="str">
        <f>Raw_Data!A307</f>
        <v>TRK100305</v>
      </c>
      <c r="B307" s="5" t="str">
        <f>TRIM(Raw_Data!B307)</f>
        <v>EcomExpress</v>
      </c>
      <c r="C307" s="5" t="str">
        <f>TRIM(Raw_Data!C307)</f>
        <v>Tier 2</v>
      </c>
      <c r="D307" s="6">
        <f>DATEVALUE(TEXT(Raw_Data!D307, "YYYY-MM-DD"))</f>
        <v>46031</v>
      </c>
      <c r="E307" s="6">
        <f>IF(ISBLANK(Raw_Data!E307), "", DATEVALUE(TEXT(Raw_Data!E307, "YYYY-MM-DD")))</f>
        <v>46040</v>
      </c>
      <c r="F307" s="5">
        <f t="shared" si="1"/>
        <v>4</v>
      </c>
      <c r="G307" s="5">
        <f t="shared" si="2"/>
        <v>6</v>
      </c>
      <c r="H307" s="5" t="str">
        <f t="shared" si="3"/>
        <v>SLA BREACH</v>
      </c>
      <c r="I307" s="5">
        <f>Raw_Data!F307</f>
        <v>2182</v>
      </c>
      <c r="J307" s="5">
        <f t="shared" si="4"/>
        <v>109.1</v>
      </c>
    </row>
    <row r="308">
      <c r="A308" s="5" t="str">
        <f>Raw_Data!A308</f>
        <v>TRK100306</v>
      </c>
      <c r="B308" s="5" t="str">
        <f>TRIM(Raw_Data!B308)</f>
        <v>EcomExpress</v>
      </c>
      <c r="C308" s="5" t="str">
        <f>TRIM(Raw_Data!C308)</f>
        <v>Tier 3</v>
      </c>
      <c r="D308" s="6">
        <f>DATEVALUE(TEXT(Raw_Data!D308, "YYYY-MM-DD"))</f>
        <v>46082</v>
      </c>
      <c r="E308" s="6">
        <f>IF(ISBLANK(Raw_Data!E308), "", DATEVALUE(TEXT(Raw_Data!E308, "YYYY-MM-DD")))</f>
        <v>46088</v>
      </c>
      <c r="F308" s="5">
        <f t="shared" si="1"/>
        <v>6</v>
      </c>
      <c r="G308" s="5">
        <f t="shared" si="2"/>
        <v>5</v>
      </c>
      <c r="H308" s="5" t="str">
        <f t="shared" si="3"/>
        <v>ON TIME</v>
      </c>
      <c r="I308" s="5">
        <f>Raw_Data!F308</f>
        <v>6126</v>
      </c>
      <c r="J308" s="5">
        <f t="shared" si="4"/>
        <v>0</v>
      </c>
    </row>
    <row r="309">
      <c r="A309" s="5" t="str">
        <f>Raw_Data!A309</f>
        <v>TRK100307</v>
      </c>
      <c r="B309" s="5" t="str">
        <f>TRIM(Raw_Data!B309)</f>
        <v>Delhivery</v>
      </c>
      <c r="C309" s="5" t="str">
        <f>TRIM(Raw_Data!C309)</f>
        <v>Tier 2</v>
      </c>
      <c r="D309" s="6">
        <f>DATEVALUE(TEXT(Raw_Data!D309, "YYYY-MM-DD"))</f>
        <v>46043</v>
      </c>
      <c r="E309" s="6">
        <f>IF(ISBLANK(Raw_Data!E309), "", DATEVALUE(TEXT(Raw_Data!E309, "YYYY-MM-DD")))</f>
        <v>46047</v>
      </c>
      <c r="F309" s="5">
        <f t="shared" si="1"/>
        <v>4</v>
      </c>
      <c r="G309" s="5">
        <f t="shared" si="2"/>
        <v>3</v>
      </c>
      <c r="H309" s="5" t="str">
        <f t="shared" si="3"/>
        <v>ON TIME</v>
      </c>
      <c r="I309" s="5">
        <f>Raw_Data!F309</f>
        <v>7924</v>
      </c>
      <c r="J309" s="5">
        <f t="shared" si="4"/>
        <v>0</v>
      </c>
    </row>
    <row r="310">
      <c r="A310" s="5" t="str">
        <f>Raw_Data!A310</f>
        <v>TRK100308</v>
      </c>
      <c r="B310" s="5" t="str">
        <f>TRIM(Raw_Data!B310)</f>
        <v>Delhivery</v>
      </c>
      <c r="C310" s="5" t="str">
        <f>TRIM(Raw_Data!C310)</f>
        <v>Tier 3</v>
      </c>
      <c r="D310" s="6">
        <f>DATEVALUE(TEXT(Raw_Data!D310, "YYYY-MM-DD"))</f>
        <v>46048</v>
      </c>
      <c r="E310" s="6">
        <f>IF(ISBLANK(Raw_Data!E310), "", DATEVALUE(TEXT(Raw_Data!E310, "YYYY-MM-DD")))</f>
        <v>46055</v>
      </c>
      <c r="F310" s="5">
        <f t="shared" si="1"/>
        <v>6</v>
      </c>
      <c r="G310" s="5">
        <f t="shared" si="2"/>
        <v>6</v>
      </c>
      <c r="H310" s="5" t="str">
        <f t="shared" si="3"/>
        <v>ON TIME</v>
      </c>
      <c r="I310" s="5">
        <f>Raw_Data!F310</f>
        <v>1433</v>
      </c>
      <c r="J310" s="5">
        <f t="shared" si="4"/>
        <v>0</v>
      </c>
    </row>
    <row r="311">
      <c r="A311" s="5" t="str">
        <f>Raw_Data!A311</f>
        <v>TRK100309</v>
      </c>
      <c r="B311" s="5" t="str">
        <f>TRIM(Raw_Data!B311)</f>
        <v>Delhivery</v>
      </c>
      <c r="C311" s="5" t="str">
        <f>TRIM(Raw_Data!C311)</f>
        <v>Tier 2</v>
      </c>
      <c r="D311" s="6">
        <f>DATEVALUE(TEXT(Raw_Data!D311, "YYYY-MM-DD"))</f>
        <v>46070</v>
      </c>
      <c r="E311" s="6">
        <f>IF(ISBLANK(Raw_Data!E311), "", DATEVALUE(TEXT(Raw_Data!E311, "YYYY-MM-DD")))</f>
        <v>46074</v>
      </c>
      <c r="F311" s="5">
        <f t="shared" si="1"/>
        <v>4</v>
      </c>
      <c r="G311" s="5">
        <f t="shared" si="2"/>
        <v>4</v>
      </c>
      <c r="H311" s="5" t="str">
        <f t="shared" si="3"/>
        <v>ON TIME</v>
      </c>
      <c r="I311" s="5">
        <f>Raw_Data!F311</f>
        <v>4098</v>
      </c>
      <c r="J311" s="5">
        <f t="shared" si="4"/>
        <v>0</v>
      </c>
    </row>
    <row r="312">
      <c r="A312" s="5" t="str">
        <f>Raw_Data!A312</f>
        <v>TRK100310</v>
      </c>
      <c r="B312" s="5" t="str">
        <f>TRIM(Raw_Data!B312)</f>
        <v>Delhivery</v>
      </c>
      <c r="C312" s="5" t="str">
        <f>TRIM(Raw_Data!C312)</f>
        <v>Tier 3</v>
      </c>
      <c r="D312" s="6">
        <f>DATEVALUE(TEXT(Raw_Data!D312, "YYYY-MM-DD"))</f>
        <v>46060</v>
      </c>
      <c r="E312" s="6">
        <f>IF(ISBLANK(Raw_Data!E312), "", DATEVALUE(TEXT(Raw_Data!E312, "YYYY-MM-DD")))</f>
        <v>46066</v>
      </c>
      <c r="F312" s="5">
        <f t="shared" si="1"/>
        <v>6</v>
      </c>
      <c r="G312" s="5">
        <f t="shared" si="2"/>
        <v>5</v>
      </c>
      <c r="H312" s="5" t="str">
        <f t="shared" si="3"/>
        <v>ON TIME</v>
      </c>
      <c r="I312" s="5">
        <f>Raw_Data!F312</f>
        <v>11925</v>
      </c>
      <c r="J312" s="5">
        <f t="shared" si="4"/>
        <v>0</v>
      </c>
    </row>
    <row r="313">
      <c r="A313" s="5" t="str">
        <f>Raw_Data!A313</f>
        <v>TRK100311</v>
      </c>
      <c r="B313" s="5" t="str">
        <f>TRIM(Raw_Data!B313)</f>
        <v>BlueDart</v>
      </c>
      <c r="C313" s="5" t="str">
        <f>TRIM(Raw_Data!C313)</f>
        <v>Tier 2</v>
      </c>
      <c r="D313" s="6">
        <f>DATEVALUE(TEXT(Raw_Data!D313, "YYYY-MM-DD"))</f>
        <v>46055</v>
      </c>
      <c r="E313" s="6">
        <f>IF(ISBLANK(Raw_Data!E313), "", DATEVALUE(TEXT(Raw_Data!E313, "YYYY-MM-DD")))</f>
        <v>46059</v>
      </c>
      <c r="F313" s="5">
        <f t="shared" si="1"/>
        <v>4</v>
      </c>
      <c r="G313" s="5">
        <f t="shared" si="2"/>
        <v>5</v>
      </c>
      <c r="H313" s="5" t="str">
        <f t="shared" si="3"/>
        <v>SLA BREACH</v>
      </c>
      <c r="I313" s="5">
        <f>Raw_Data!F313</f>
        <v>2480</v>
      </c>
      <c r="J313" s="5">
        <f t="shared" si="4"/>
        <v>124</v>
      </c>
    </row>
    <row r="314">
      <c r="A314" s="5" t="str">
        <f>Raw_Data!A314</f>
        <v>TRK100312</v>
      </c>
      <c r="B314" s="5" t="str">
        <f>TRIM(Raw_Data!B314)</f>
        <v>BlueDart</v>
      </c>
      <c r="C314" s="5" t="str">
        <f>TRIM(Raw_Data!C314)</f>
        <v>Metro</v>
      </c>
      <c r="D314" s="6">
        <f>DATEVALUE(TEXT(Raw_Data!D314, "YYYY-MM-DD"))</f>
        <v>46057</v>
      </c>
      <c r="E314" s="6">
        <f>IF(ISBLANK(Raw_Data!E314), "", DATEVALUE(TEXT(Raw_Data!E314, "YYYY-MM-DD")))</f>
        <v>46059</v>
      </c>
      <c r="F314" s="5">
        <f t="shared" si="1"/>
        <v>2</v>
      </c>
      <c r="G314" s="5">
        <f t="shared" si="2"/>
        <v>3</v>
      </c>
      <c r="H314" s="5" t="str">
        <f t="shared" si="3"/>
        <v>SLA BREACH</v>
      </c>
      <c r="I314" s="5">
        <f>Raw_Data!F314</f>
        <v>10547</v>
      </c>
      <c r="J314" s="5">
        <f t="shared" si="4"/>
        <v>527.35</v>
      </c>
    </row>
    <row r="315">
      <c r="A315" s="5" t="str">
        <f>Raw_Data!A315</f>
        <v>TRK100313</v>
      </c>
      <c r="B315" s="5" t="str">
        <f>TRIM(Raw_Data!B315)</f>
        <v>BlueDart</v>
      </c>
      <c r="C315" s="5" t="str">
        <f>TRIM(Raw_Data!C315)</f>
        <v>Tier 3</v>
      </c>
      <c r="D315" s="6">
        <f>DATEVALUE(TEXT(Raw_Data!D315, "YYYY-MM-DD"))</f>
        <v>46068</v>
      </c>
      <c r="E315" s="6">
        <f>IF(ISBLANK(Raw_Data!E315), "", DATEVALUE(TEXT(Raw_Data!E315, "YYYY-MM-DD")))</f>
        <v>46077</v>
      </c>
      <c r="F315" s="5">
        <f t="shared" si="1"/>
        <v>6</v>
      </c>
      <c r="G315" s="5">
        <f t="shared" si="2"/>
        <v>7</v>
      </c>
      <c r="H315" s="5" t="str">
        <f t="shared" si="3"/>
        <v>SLA BREACH</v>
      </c>
      <c r="I315" s="5">
        <f>Raw_Data!F315</f>
        <v>3556</v>
      </c>
      <c r="J315" s="5">
        <f t="shared" si="4"/>
        <v>177.8</v>
      </c>
    </row>
    <row r="316">
      <c r="A316" s="5" t="str">
        <f>Raw_Data!A316</f>
        <v>TRK100314</v>
      </c>
      <c r="B316" s="5" t="str">
        <f>TRIM(Raw_Data!B316)</f>
        <v>Delhivery</v>
      </c>
      <c r="C316" s="5" t="str">
        <f>TRIM(Raw_Data!C316)</f>
        <v>Tier 2</v>
      </c>
      <c r="D316" s="6">
        <f>DATEVALUE(TEXT(Raw_Data!D316, "YYYY-MM-DD"))</f>
        <v>46042</v>
      </c>
      <c r="E316" s="6">
        <f>IF(ISBLANK(Raw_Data!E316), "", DATEVALUE(TEXT(Raw_Data!E316, "YYYY-MM-DD")))</f>
        <v>46048</v>
      </c>
      <c r="F316" s="5">
        <f t="shared" si="1"/>
        <v>4</v>
      </c>
      <c r="G316" s="5">
        <f t="shared" si="2"/>
        <v>5</v>
      </c>
      <c r="H316" s="5" t="str">
        <f t="shared" si="3"/>
        <v>SLA BREACH</v>
      </c>
      <c r="I316" s="5">
        <f>Raw_Data!F316</f>
        <v>9484</v>
      </c>
      <c r="J316" s="5">
        <f t="shared" si="4"/>
        <v>474.2</v>
      </c>
    </row>
    <row r="317">
      <c r="A317" s="5" t="str">
        <f>Raw_Data!A317</f>
        <v>TRK100315</v>
      </c>
      <c r="B317" s="5" t="str">
        <f>TRIM(Raw_Data!B317)</f>
        <v>BlueDart</v>
      </c>
      <c r="C317" s="5" t="str">
        <f>TRIM(Raw_Data!C317)</f>
        <v>Tier 2</v>
      </c>
      <c r="D317" s="6">
        <f>DATEVALUE(TEXT(Raw_Data!D317, "YYYY-MM-DD"))</f>
        <v>46075</v>
      </c>
      <c r="E317" s="6">
        <f>IF(ISBLANK(Raw_Data!E317), "", DATEVALUE(TEXT(Raw_Data!E317, "YYYY-MM-DD")))</f>
        <v>46079</v>
      </c>
      <c r="F317" s="5">
        <f t="shared" si="1"/>
        <v>4</v>
      </c>
      <c r="G317" s="5">
        <f t="shared" si="2"/>
        <v>4</v>
      </c>
      <c r="H317" s="5" t="str">
        <f t="shared" si="3"/>
        <v>ON TIME</v>
      </c>
      <c r="I317" s="5">
        <f>Raw_Data!F317</f>
        <v>1291</v>
      </c>
      <c r="J317" s="5">
        <f t="shared" si="4"/>
        <v>0</v>
      </c>
    </row>
    <row r="318">
      <c r="A318" s="5" t="str">
        <f>Raw_Data!A318</f>
        <v>TRK100316</v>
      </c>
      <c r="B318" s="5" t="str">
        <f>TRIM(Raw_Data!B318)</f>
        <v>Delhivery</v>
      </c>
      <c r="C318" s="5" t="str">
        <f>TRIM(Raw_Data!C318)</f>
        <v>Metro</v>
      </c>
      <c r="D318" s="6">
        <f>DATEVALUE(TEXT(Raw_Data!D318, "YYYY-MM-DD"))</f>
        <v>46046</v>
      </c>
      <c r="E318" s="6">
        <f>IF(ISBLANK(Raw_Data!E318), "", DATEVALUE(TEXT(Raw_Data!E318, "YYYY-MM-DD")))</f>
        <v>46048</v>
      </c>
      <c r="F318" s="5">
        <f t="shared" si="1"/>
        <v>2</v>
      </c>
      <c r="G318" s="5">
        <f t="shared" si="2"/>
        <v>1</v>
      </c>
      <c r="H318" s="5" t="str">
        <f t="shared" si="3"/>
        <v>ON TIME</v>
      </c>
      <c r="I318" s="5">
        <f>Raw_Data!F318</f>
        <v>10501</v>
      </c>
      <c r="J318" s="5">
        <f t="shared" si="4"/>
        <v>0</v>
      </c>
    </row>
    <row r="319">
      <c r="A319" s="5" t="str">
        <f>Raw_Data!A319</f>
        <v>TRK100317</v>
      </c>
      <c r="B319" s="5" t="str">
        <f>TRIM(Raw_Data!B319)</f>
        <v>Delhivery</v>
      </c>
      <c r="C319" s="5" t="str">
        <f>TRIM(Raw_Data!C319)</f>
        <v>Tier 3</v>
      </c>
      <c r="D319" s="6">
        <f>DATEVALUE(TEXT(Raw_Data!D319, "YYYY-MM-DD"))</f>
        <v>46066</v>
      </c>
      <c r="E319" s="6">
        <f>IF(ISBLANK(Raw_Data!E319), "", DATEVALUE(TEXT(Raw_Data!E319, "YYYY-MM-DD")))</f>
        <v>46072</v>
      </c>
      <c r="F319" s="5">
        <f t="shared" si="1"/>
        <v>6</v>
      </c>
      <c r="G319" s="5">
        <f t="shared" si="2"/>
        <v>5</v>
      </c>
      <c r="H319" s="5" t="str">
        <f t="shared" si="3"/>
        <v>ON TIME</v>
      </c>
      <c r="I319" s="5">
        <f>Raw_Data!F319</f>
        <v>5890</v>
      </c>
      <c r="J319" s="5">
        <f t="shared" si="4"/>
        <v>0</v>
      </c>
    </row>
    <row r="320">
      <c r="A320" s="5" t="str">
        <f>Raw_Data!A320</f>
        <v>TRK100318</v>
      </c>
      <c r="B320" s="5" t="str">
        <f>TRIM(Raw_Data!B320)</f>
        <v>BlueDart</v>
      </c>
      <c r="C320" s="5" t="str">
        <f>TRIM(Raw_Data!C320)</f>
        <v>Tier 3</v>
      </c>
      <c r="D320" s="6">
        <f>DATEVALUE(TEXT(Raw_Data!D320, "YYYY-MM-DD"))</f>
        <v>46049</v>
      </c>
      <c r="E320" s="6">
        <f>IF(ISBLANK(Raw_Data!E320), "", DATEVALUE(TEXT(Raw_Data!E320, "YYYY-MM-DD")))</f>
        <v>46055</v>
      </c>
      <c r="F320" s="5">
        <f t="shared" si="1"/>
        <v>6</v>
      </c>
      <c r="G320" s="5">
        <f t="shared" si="2"/>
        <v>5</v>
      </c>
      <c r="H320" s="5" t="str">
        <f t="shared" si="3"/>
        <v>ON TIME</v>
      </c>
      <c r="I320" s="5">
        <f>Raw_Data!F320</f>
        <v>7135</v>
      </c>
      <c r="J320" s="5">
        <f t="shared" si="4"/>
        <v>0</v>
      </c>
    </row>
    <row r="321">
      <c r="A321" s="5" t="str">
        <f>Raw_Data!A321</f>
        <v>TRK100319</v>
      </c>
      <c r="B321" s="5" t="str">
        <f>TRIM(Raw_Data!B321)</f>
        <v>Delhivery</v>
      </c>
      <c r="C321" s="5" t="str">
        <f>TRIM(Raw_Data!C321)</f>
        <v>Tier 3</v>
      </c>
      <c r="D321" s="6">
        <f>DATEVALUE(TEXT(Raw_Data!D321, "YYYY-MM-DD"))</f>
        <v>46042</v>
      </c>
      <c r="E321" s="6">
        <f>IF(ISBLANK(Raw_Data!E321), "", DATEVALUE(TEXT(Raw_Data!E321, "YYYY-MM-DD")))</f>
        <v>46048</v>
      </c>
      <c r="F321" s="5">
        <f t="shared" si="1"/>
        <v>6</v>
      </c>
      <c r="G321" s="5">
        <f t="shared" si="2"/>
        <v>5</v>
      </c>
      <c r="H321" s="5" t="str">
        <f t="shared" si="3"/>
        <v>ON TIME</v>
      </c>
      <c r="I321" s="5">
        <f>Raw_Data!F321</f>
        <v>2755</v>
      </c>
      <c r="J321" s="5">
        <f t="shared" si="4"/>
        <v>0</v>
      </c>
    </row>
    <row r="322">
      <c r="A322" s="5" t="str">
        <f>Raw_Data!A322</f>
        <v>TRK100320</v>
      </c>
      <c r="B322" s="5" t="str">
        <f>TRIM(Raw_Data!B322)</f>
        <v>BlueDart</v>
      </c>
      <c r="C322" s="5" t="str">
        <f>TRIM(Raw_Data!C322)</f>
        <v>Metro</v>
      </c>
      <c r="D322" s="6">
        <f>DATEVALUE(TEXT(Raw_Data!D322, "YYYY-MM-DD"))</f>
        <v>46080</v>
      </c>
      <c r="E322" s="6">
        <f>IF(ISBLANK(Raw_Data!E322), "", DATEVALUE(TEXT(Raw_Data!E322, "YYYY-MM-DD")))</f>
        <v>46082</v>
      </c>
      <c r="F322" s="5">
        <f t="shared" si="1"/>
        <v>2</v>
      </c>
      <c r="G322" s="5">
        <f t="shared" si="2"/>
        <v>1</v>
      </c>
      <c r="H322" s="5" t="str">
        <f t="shared" si="3"/>
        <v>ON TIME</v>
      </c>
      <c r="I322" s="5">
        <f>Raw_Data!F322</f>
        <v>4110</v>
      </c>
      <c r="J322" s="5">
        <f t="shared" si="4"/>
        <v>0</v>
      </c>
    </row>
    <row r="323">
      <c r="A323" s="5" t="str">
        <f>Raw_Data!A323</f>
        <v>TRK100321</v>
      </c>
      <c r="B323" s="5" t="str">
        <f>TRIM(Raw_Data!B323)</f>
        <v>BlueDart</v>
      </c>
      <c r="C323" s="5" t="str">
        <f>TRIM(Raw_Data!C323)</f>
        <v>Tier 3</v>
      </c>
      <c r="D323" s="6">
        <f>DATEVALUE(TEXT(Raw_Data!D323, "YYYY-MM-DD"))</f>
        <v>46078</v>
      </c>
      <c r="E323" s="6">
        <f>IF(ISBLANK(Raw_Data!E323), "", DATEVALUE(TEXT(Raw_Data!E323, "YYYY-MM-DD")))</f>
        <v>46085</v>
      </c>
      <c r="F323" s="5">
        <f t="shared" si="1"/>
        <v>6</v>
      </c>
      <c r="G323" s="5">
        <f t="shared" si="2"/>
        <v>6</v>
      </c>
      <c r="H323" s="5" t="str">
        <f t="shared" si="3"/>
        <v>ON TIME</v>
      </c>
      <c r="I323" s="5">
        <f>Raw_Data!F323</f>
        <v>2107</v>
      </c>
      <c r="J323" s="5">
        <f t="shared" si="4"/>
        <v>0</v>
      </c>
    </row>
    <row r="324">
      <c r="A324" s="5" t="str">
        <f>Raw_Data!A324</f>
        <v>TRK100322</v>
      </c>
      <c r="B324" s="5" t="str">
        <f>TRIM(Raw_Data!B324)</f>
        <v>BlueDart</v>
      </c>
      <c r="C324" s="5" t="str">
        <f>TRIM(Raw_Data!C324)</f>
        <v>Tier 3</v>
      </c>
      <c r="D324" s="6">
        <f>DATEVALUE(TEXT(Raw_Data!D324, "YYYY-MM-DD"))</f>
        <v>46063</v>
      </c>
      <c r="E324" s="6">
        <f>IF(ISBLANK(Raw_Data!E324), "", DATEVALUE(TEXT(Raw_Data!E324, "YYYY-MM-DD")))</f>
        <v>46069</v>
      </c>
      <c r="F324" s="5">
        <f t="shared" si="1"/>
        <v>6</v>
      </c>
      <c r="G324" s="5">
        <f t="shared" si="2"/>
        <v>5</v>
      </c>
      <c r="H324" s="5" t="str">
        <f t="shared" si="3"/>
        <v>ON TIME</v>
      </c>
      <c r="I324" s="5">
        <f>Raw_Data!F324</f>
        <v>5679</v>
      </c>
      <c r="J324" s="5">
        <f t="shared" si="4"/>
        <v>0</v>
      </c>
    </row>
    <row r="325">
      <c r="A325" s="5" t="str">
        <f>Raw_Data!A325</f>
        <v>TRK100323</v>
      </c>
      <c r="B325" s="5" t="str">
        <f>TRIM(Raw_Data!B325)</f>
        <v>BlueDart</v>
      </c>
      <c r="C325" s="5" t="str">
        <f>TRIM(Raw_Data!C325)</f>
        <v>Tier 2</v>
      </c>
      <c r="D325" s="6">
        <f>DATEVALUE(TEXT(Raw_Data!D325, "YYYY-MM-DD"))</f>
        <v>46061</v>
      </c>
      <c r="E325" s="6">
        <f>IF(ISBLANK(Raw_Data!E325), "", DATEVALUE(TEXT(Raw_Data!E325, "YYYY-MM-DD")))</f>
        <v>46065</v>
      </c>
      <c r="F325" s="5">
        <f t="shared" si="1"/>
        <v>4</v>
      </c>
      <c r="G325" s="5">
        <f t="shared" si="2"/>
        <v>4</v>
      </c>
      <c r="H325" s="5" t="str">
        <f t="shared" si="3"/>
        <v>ON TIME</v>
      </c>
      <c r="I325" s="5">
        <f>Raw_Data!F325</f>
        <v>7073</v>
      </c>
      <c r="J325" s="5">
        <f t="shared" si="4"/>
        <v>0</v>
      </c>
    </row>
    <row r="326">
      <c r="A326" s="5" t="str">
        <f>Raw_Data!A326</f>
        <v>TRK100324</v>
      </c>
      <c r="B326" s="5" t="str">
        <f>TRIM(Raw_Data!B326)</f>
        <v>BlueDart</v>
      </c>
      <c r="C326" s="5" t="str">
        <f>TRIM(Raw_Data!C326)</f>
        <v>Tier 2</v>
      </c>
      <c r="D326" s="6">
        <f>DATEVALUE(TEXT(Raw_Data!D326, "YYYY-MM-DD"))</f>
        <v>46039</v>
      </c>
      <c r="E326" s="6">
        <f>IF(ISBLANK(Raw_Data!E326), "", DATEVALUE(TEXT(Raw_Data!E326, "YYYY-MM-DD")))</f>
        <v>46046</v>
      </c>
      <c r="F326" s="5">
        <f t="shared" si="1"/>
        <v>4</v>
      </c>
      <c r="G326" s="5">
        <f t="shared" si="2"/>
        <v>5</v>
      </c>
      <c r="H326" s="5" t="str">
        <f t="shared" si="3"/>
        <v>SLA BREACH</v>
      </c>
      <c r="I326" s="5">
        <f>Raw_Data!F326</f>
        <v>1484</v>
      </c>
      <c r="J326" s="5">
        <f t="shared" si="4"/>
        <v>74.2</v>
      </c>
    </row>
    <row r="327">
      <c r="A327" s="5" t="str">
        <f>Raw_Data!A327</f>
        <v>TRK100325</v>
      </c>
      <c r="B327" s="5" t="str">
        <f>TRIM(Raw_Data!B327)</f>
        <v>EcomExpress</v>
      </c>
      <c r="C327" s="5" t="str">
        <f>TRIM(Raw_Data!C327)</f>
        <v>Metro</v>
      </c>
      <c r="D327" s="6">
        <f>DATEVALUE(TEXT(Raw_Data!D327, "YYYY-MM-DD"))</f>
        <v>46073</v>
      </c>
      <c r="E327" s="6">
        <f>IF(ISBLANK(Raw_Data!E327), "", DATEVALUE(TEXT(Raw_Data!E327, "YYYY-MM-DD")))</f>
        <v>46076</v>
      </c>
      <c r="F327" s="5">
        <f t="shared" si="1"/>
        <v>2</v>
      </c>
      <c r="G327" s="5">
        <f t="shared" si="2"/>
        <v>2</v>
      </c>
      <c r="H327" s="5" t="str">
        <f t="shared" si="3"/>
        <v>ON TIME</v>
      </c>
      <c r="I327" s="5">
        <f>Raw_Data!F327</f>
        <v>6276</v>
      </c>
      <c r="J327" s="5">
        <f t="shared" si="4"/>
        <v>0</v>
      </c>
    </row>
    <row r="328">
      <c r="A328" s="5" t="str">
        <f>Raw_Data!A328</f>
        <v>TRK100326</v>
      </c>
      <c r="B328" s="5" t="str">
        <f>TRIM(Raw_Data!B328)</f>
        <v>EcomExpress</v>
      </c>
      <c r="C328" s="5" t="str">
        <f>TRIM(Raw_Data!C328)</f>
        <v>Tier 3</v>
      </c>
      <c r="D328" s="6">
        <f>DATEVALUE(TEXT(Raw_Data!D328, "YYYY-MM-DD"))</f>
        <v>46060</v>
      </c>
      <c r="E328" s="6">
        <f>IF(ISBLANK(Raw_Data!E328), "", DATEVALUE(TEXT(Raw_Data!E328, "YYYY-MM-DD")))</f>
        <v>46066</v>
      </c>
      <c r="F328" s="5">
        <f t="shared" si="1"/>
        <v>6</v>
      </c>
      <c r="G328" s="5">
        <f t="shared" si="2"/>
        <v>5</v>
      </c>
      <c r="H328" s="5" t="str">
        <f t="shared" si="3"/>
        <v>ON TIME</v>
      </c>
      <c r="I328" s="5">
        <f>Raw_Data!F328</f>
        <v>4176</v>
      </c>
      <c r="J328" s="5">
        <f t="shared" si="4"/>
        <v>0</v>
      </c>
    </row>
    <row r="329">
      <c r="A329" s="5" t="str">
        <f>Raw_Data!A329</f>
        <v>TRK100327</v>
      </c>
      <c r="B329" s="5" t="str">
        <f>TRIM(Raw_Data!B329)</f>
        <v>EcomExpress</v>
      </c>
      <c r="C329" s="5" t="str">
        <f>TRIM(Raw_Data!C329)</f>
        <v>Tier 2</v>
      </c>
      <c r="D329" s="6">
        <f>DATEVALUE(TEXT(Raw_Data!D329, "YYYY-MM-DD"))</f>
        <v>46037</v>
      </c>
      <c r="E329" s="6">
        <f>IF(ISBLANK(Raw_Data!E329), "", DATEVALUE(TEXT(Raw_Data!E329, "YYYY-MM-DD")))</f>
        <v>46041</v>
      </c>
      <c r="F329" s="5">
        <f t="shared" si="1"/>
        <v>4</v>
      </c>
      <c r="G329" s="5">
        <f t="shared" si="2"/>
        <v>3</v>
      </c>
      <c r="H329" s="5" t="str">
        <f t="shared" si="3"/>
        <v>ON TIME</v>
      </c>
      <c r="I329" s="5">
        <f>Raw_Data!F329</f>
        <v>3880</v>
      </c>
      <c r="J329" s="5">
        <f t="shared" si="4"/>
        <v>0</v>
      </c>
    </row>
    <row r="330">
      <c r="A330" s="5" t="str">
        <f>Raw_Data!A330</f>
        <v>TRK100328</v>
      </c>
      <c r="B330" s="5" t="str">
        <f>TRIM(Raw_Data!B330)</f>
        <v>EcomExpress</v>
      </c>
      <c r="C330" s="5" t="str">
        <f>TRIM(Raw_Data!C330)</f>
        <v>Metro</v>
      </c>
      <c r="D330" s="6">
        <f>DATEVALUE(TEXT(Raw_Data!D330, "YYYY-MM-DD"))</f>
        <v>46026</v>
      </c>
      <c r="E330" s="6" t="str">
        <f>IF(ISBLANK(Raw_Data!E330), "", DATEVALUE(TEXT(Raw_Data!E330, "YYYY-MM-DD")))</f>
        <v/>
      </c>
      <c r="F330" s="5">
        <f t="shared" si="1"/>
        <v>2</v>
      </c>
      <c r="G330" s="5" t="str">
        <f t="shared" si="2"/>
        <v>In-Transit</v>
      </c>
      <c r="H330" s="5" t="str">
        <f t="shared" si="3"/>
        <v>Pending</v>
      </c>
      <c r="I330" s="5">
        <f>Raw_Data!F330</f>
        <v>9211</v>
      </c>
      <c r="J330" s="5">
        <f t="shared" si="4"/>
        <v>0</v>
      </c>
    </row>
    <row r="331">
      <c r="A331" s="5" t="str">
        <f>Raw_Data!A331</f>
        <v>TRK100329</v>
      </c>
      <c r="B331" s="5" t="str">
        <f>TRIM(Raw_Data!B331)</f>
        <v>EcomExpress</v>
      </c>
      <c r="C331" s="5" t="str">
        <f>TRIM(Raw_Data!C331)</f>
        <v>Tier 3</v>
      </c>
      <c r="D331" s="6">
        <f>DATEVALUE(TEXT(Raw_Data!D331, "YYYY-MM-DD"))</f>
        <v>46053</v>
      </c>
      <c r="E331" s="6" t="str">
        <f>IF(ISBLANK(Raw_Data!E331), "", DATEVALUE(TEXT(Raw_Data!E331, "YYYY-MM-DD")))</f>
        <v/>
      </c>
      <c r="F331" s="5">
        <f t="shared" si="1"/>
        <v>6</v>
      </c>
      <c r="G331" s="5" t="str">
        <f t="shared" si="2"/>
        <v>In-Transit</v>
      </c>
      <c r="H331" s="5" t="str">
        <f t="shared" si="3"/>
        <v>Pending</v>
      </c>
      <c r="I331" s="5">
        <f>Raw_Data!F331</f>
        <v>9282</v>
      </c>
      <c r="J331" s="5">
        <f t="shared" si="4"/>
        <v>0</v>
      </c>
    </row>
    <row r="332">
      <c r="A332" s="5" t="str">
        <f>Raw_Data!A332</f>
        <v>TRK100330</v>
      </c>
      <c r="B332" s="5" t="str">
        <f>TRIM(Raw_Data!B332)</f>
        <v>BlueDart</v>
      </c>
      <c r="C332" s="5" t="str">
        <f>TRIM(Raw_Data!C332)</f>
        <v>Metro</v>
      </c>
      <c r="D332" s="6">
        <f>DATEVALUE(TEXT(Raw_Data!D332, "YYYY-MM-DD"))</f>
        <v>46056</v>
      </c>
      <c r="E332" s="6" t="str">
        <f>IF(ISBLANK(Raw_Data!E332), "", DATEVALUE(TEXT(Raw_Data!E332, "YYYY-MM-DD")))</f>
        <v/>
      </c>
      <c r="F332" s="5">
        <f t="shared" si="1"/>
        <v>2</v>
      </c>
      <c r="G332" s="5" t="str">
        <f t="shared" si="2"/>
        <v>In-Transit</v>
      </c>
      <c r="H332" s="5" t="str">
        <f t="shared" si="3"/>
        <v>Pending</v>
      </c>
      <c r="I332" s="5">
        <f>Raw_Data!F332</f>
        <v>1550</v>
      </c>
      <c r="J332" s="5">
        <f t="shared" si="4"/>
        <v>0</v>
      </c>
    </row>
    <row r="333">
      <c r="A333" s="5" t="str">
        <f>Raw_Data!A333</f>
        <v>TRK100331</v>
      </c>
      <c r="B333" s="5" t="str">
        <f>TRIM(Raw_Data!B333)</f>
        <v>Delhivery</v>
      </c>
      <c r="C333" s="5" t="str">
        <f>TRIM(Raw_Data!C333)</f>
        <v>Tier 3</v>
      </c>
      <c r="D333" s="6">
        <f>DATEVALUE(TEXT(Raw_Data!D333, "YYYY-MM-DD"))</f>
        <v>46069</v>
      </c>
      <c r="E333" s="6">
        <f>IF(ISBLANK(Raw_Data!E333), "", DATEVALUE(TEXT(Raw_Data!E333, "YYYY-MM-DD")))</f>
        <v>46076</v>
      </c>
      <c r="F333" s="5">
        <f t="shared" si="1"/>
        <v>6</v>
      </c>
      <c r="G333" s="5">
        <f t="shared" si="2"/>
        <v>6</v>
      </c>
      <c r="H333" s="5" t="str">
        <f t="shared" si="3"/>
        <v>ON TIME</v>
      </c>
      <c r="I333" s="5">
        <f>Raw_Data!F333</f>
        <v>4133</v>
      </c>
      <c r="J333" s="5">
        <f t="shared" si="4"/>
        <v>0</v>
      </c>
    </row>
    <row r="334">
      <c r="A334" s="5" t="str">
        <f>Raw_Data!A334</f>
        <v>TRK100332</v>
      </c>
      <c r="B334" s="5" t="str">
        <f>TRIM(Raw_Data!B334)</f>
        <v>Delhivery</v>
      </c>
      <c r="C334" s="5" t="str">
        <f>TRIM(Raw_Data!C334)</f>
        <v>Tier 2</v>
      </c>
      <c r="D334" s="6">
        <f>DATEVALUE(TEXT(Raw_Data!D334, "YYYY-MM-DD"))</f>
        <v>46072</v>
      </c>
      <c r="E334" s="6">
        <f>IF(ISBLANK(Raw_Data!E334), "", DATEVALUE(TEXT(Raw_Data!E334, "YYYY-MM-DD")))</f>
        <v>46076</v>
      </c>
      <c r="F334" s="5">
        <f t="shared" si="1"/>
        <v>4</v>
      </c>
      <c r="G334" s="5">
        <f t="shared" si="2"/>
        <v>3</v>
      </c>
      <c r="H334" s="5" t="str">
        <f t="shared" si="3"/>
        <v>ON TIME</v>
      </c>
      <c r="I334" s="5">
        <f>Raw_Data!F334</f>
        <v>6842</v>
      </c>
      <c r="J334" s="5">
        <f t="shared" si="4"/>
        <v>0</v>
      </c>
    </row>
    <row r="335">
      <c r="A335" s="5" t="str">
        <f>Raw_Data!A335</f>
        <v>TRK100333</v>
      </c>
      <c r="B335" s="5" t="str">
        <f>TRIM(Raw_Data!B335)</f>
        <v>BlueDart</v>
      </c>
      <c r="C335" s="5" t="str">
        <f>TRIM(Raw_Data!C335)</f>
        <v>Tier 3</v>
      </c>
      <c r="D335" s="6">
        <f>DATEVALUE(TEXT(Raw_Data!D335, "YYYY-MM-DD"))</f>
        <v>46032</v>
      </c>
      <c r="E335" s="6">
        <f>IF(ISBLANK(Raw_Data!E335), "", DATEVALUE(TEXT(Raw_Data!E335, "YYYY-MM-DD")))</f>
        <v>46038</v>
      </c>
      <c r="F335" s="5">
        <f t="shared" si="1"/>
        <v>6</v>
      </c>
      <c r="G335" s="5">
        <f t="shared" si="2"/>
        <v>5</v>
      </c>
      <c r="H335" s="5" t="str">
        <f t="shared" si="3"/>
        <v>ON TIME</v>
      </c>
      <c r="I335" s="5">
        <f>Raw_Data!F335</f>
        <v>1459</v>
      </c>
      <c r="J335" s="5">
        <f t="shared" si="4"/>
        <v>0</v>
      </c>
    </row>
    <row r="336">
      <c r="A336" s="5" t="str">
        <f>Raw_Data!A336</f>
        <v>TRK100334</v>
      </c>
      <c r="B336" s="5" t="str">
        <f>TRIM(Raw_Data!B336)</f>
        <v>Delhivery</v>
      </c>
      <c r="C336" s="5" t="str">
        <f>TRIM(Raw_Data!C336)</f>
        <v>Tier 3</v>
      </c>
      <c r="D336" s="6">
        <f>DATEVALUE(TEXT(Raw_Data!D336, "YYYY-MM-DD"))</f>
        <v>46038</v>
      </c>
      <c r="E336" s="6">
        <f>IF(ISBLANK(Raw_Data!E336), "", DATEVALUE(TEXT(Raw_Data!E336, "YYYY-MM-DD")))</f>
        <v>46044</v>
      </c>
      <c r="F336" s="5">
        <f t="shared" si="1"/>
        <v>6</v>
      </c>
      <c r="G336" s="5">
        <f t="shared" si="2"/>
        <v>5</v>
      </c>
      <c r="H336" s="5" t="str">
        <f t="shared" si="3"/>
        <v>ON TIME</v>
      </c>
      <c r="I336" s="5">
        <f>Raw_Data!F336</f>
        <v>6559</v>
      </c>
      <c r="J336" s="5">
        <f t="shared" si="4"/>
        <v>0</v>
      </c>
    </row>
    <row r="337">
      <c r="A337" s="5" t="str">
        <f>Raw_Data!A337</f>
        <v>TRK100335</v>
      </c>
      <c r="B337" s="5" t="str">
        <f>TRIM(Raw_Data!B337)</f>
        <v>Delhivery</v>
      </c>
      <c r="C337" s="5" t="str">
        <f>TRIM(Raw_Data!C337)</f>
        <v>Tier 3</v>
      </c>
      <c r="D337" s="6">
        <f>DATEVALUE(TEXT(Raw_Data!D337, "YYYY-MM-DD"))</f>
        <v>46059</v>
      </c>
      <c r="E337" s="6">
        <f>IF(ISBLANK(Raw_Data!E337), "", DATEVALUE(TEXT(Raw_Data!E337, "YYYY-MM-DD")))</f>
        <v>46065</v>
      </c>
      <c r="F337" s="5">
        <f t="shared" si="1"/>
        <v>6</v>
      </c>
      <c r="G337" s="5">
        <f t="shared" si="2"/>
        <v>5</v>
      </c>
      <c r="H337" s="5" t="str">
        <f t="shared" si="3"/>
        <v>ON TIME</v>
      </c>
      <c r="I337" s="5">
        <f>Raw_Data!F337</f>
        <v>9384</v>
      </c>
      <c r="J337" s="5">
        <f t="shared" si="4"/>
        <v>0</v>
      </c>
    </row>
    <row r="338">
      <c r="A338" s="5" t="str">
        <f>Raw_Data!A338</f>
        <v>TRK100336</v>
      </c>
      <c r="B338" s="5" t="str">
        <f>TRIM(Raw_Data!B338)</f>
        <v>EcomExpress</v>
      </c>
      <c r="C338" s="5" t="str">
        <f>TRIM(Raw_Data!C338)</f>
        <v>Tier 3</v>
      </c>
      <c r="D338" s="6">
        <f>DATEVALUE(TEXT(Raw_Data!D338, "YYYY-MM-DD"))</f>
        <v>46030</v>
      </c>
      <c r="E338" s="6">
        <f>IF(ISBLANK(Raw_Data!E338), "", DATEVALUE(TEXT(Raw_Data!E338, "YYYY-MM-DD")))</f>
        <v>46038</v>
      </c>
      <c r="F338" s="5">
        <f t="shared" si="1"/>
        <v>6</v>
      </c>
      <c r="G338" s="5">
        <f t="shared" si="2"/>
        <v>7</v>
      </c>
      <c r="H338" s="5" t="str">
        <f t="shared" si="3"/>
        <v>SLA BREACH</v>
      </c>
      <c r="I338" s="5">
        <f>Raw_Data!F338</f>
        <v>6155</v>
      </c>
      <c r="J338" s="5">
        <f t="shared" si="4"/>
        <v>307.75</v>
      </c>
    </row>
    <row r="339">
      <c r="A339" s="5" t="str">
        <f>Raw_Data!A339</f>
        <v>TRK100337</v>
      </c>
      <c r="B339" s="5" t="str">
        <f>TRIM(Raw_Data!B339)</f>
        <v>EcomExpress</v>
      </c>
      <c r="C339" s="5" t="str">
        <f>TRIM(Raw_Data!C339)</f>
        <v>Metro</v>
      </c>
      <c r="D339" s="6">
        <f>DATEVALUE(TEXT(Raw_Data!D339, "YYYY-MM-DD"))</f>
        <v>46024</v>
      </c>
      <c r="E339" s="6">
        <f>IF(ISBLANK(Raw_Data!E339), "", DATEVALUE(TEXT(Raw_Data!E339, "YYYY-MM-DD")))</f>
        <v>46027</v>
      </c>
      <c r="F339" s="5">
        <f t="shared" si="1"/>
        <v>2</v>
      </c>
      <c r="G339" s="5">
        <f t="shared" si="2"/>
        <v>2</v>
      </c>
      <c r="H339" s="5" t="str">
        <f t="shared" si="3"/>
        <v>ON TIME</v>
      </c>
      <c r="I339" s="5">
        <f>Raw_Data!F339</f>
        <v>4973</v>
      </c>
      <c r="J339" s="5">
        <f t="shared" si="4"/>
        <v>0</v>
      </c>
    </row>
    <row r="340">
      <c r="A340" s="5" t="str">
        <f>Raw_Data!A340</f>
        <v>TRK100338</v>
      </c>
      <c r="B340" s="5" t="str">
        <f>TRIM(Raw_Data!B340)</f>
        <v>EcomExpress</v>
      </c>
      <c r="C340" s="5" t="str">
        <f>TRIM(Raw_Data!C340)</f>
        <v>Tier 3</v>
      </c>
      <c r="D340" s="6">
        <f>DATEVALUE(TEXT(Raw_Data!D340, "YYYY-MM-DD"))</f>
        <v>46043</v>
      </c>
      <c r="E340" s="6">
        <f>IF(ISBLANK(Raw_Data!E340), "", DATEVALUE(TEXT(Raw_Data!E340, "YYYY-MM-DD")))</f>
        <v>46049</v>
      </c>
      <c r="F340" s="5">
        <f t="shared" si="1"/>
        <v>6</v>
      </c>
      <c r="G340" s="5">
        <f t="shared" si="2"/>
        <v>5</v>
      </c>
      <c r="H340" s="5" t="str">
        <f t="shared" si="3"/>
        <v>ON TIME</v>
      </c>
      <c r="I340" s="5">
        <f>Raw_Data!F340</f>
        <v>3446</v>
      </c>
      <c r="J340" s="5">
        <f t="shared" si="4"/>
        <v>0</v>
      </c>
    </row>
    <row r="341">
      <c r="A341" s="5" t="str">
        <f>Raw_Data!A341</f>
        <v>TRK100339</v>
      </c>
      <c r="B341" s="5" t="str">
        <f>TRIM(Raw_Data!B341)</f>
        <v>Delhivery</v>
      </c>
      <c r="C341" s="5" t="str">
        <f>TRIM(Raw_Data!C341)</f>
        <v>Metro</v>
      </c>
      <c r="D341" s="6">
        <f>DATEVALUE(TEXT(Raw_Data!D341, "YYYY-MM-DD"))</f>
        <v>46032</v>
      </c>
      <c r="E341" s="6">
        <f>IF(ISBLANK(Raw_Data!E341), "", DATEVALUE(TEXT(Raw_Data!E341, "YYYY-MM-DD")))</f>
        <v>46034</v>
      </c>
      <c r="F341" s="5">
        <f t="shared" si="1"/>
        <v>2</v>
      </c>
      <c r="G341" s="5">
        <f t="shared" si="2"/>
        <v>1</v>
      </c>
      <c r="H341" s="5" t="str">
        <f t="shared" si="3"/>
        <v>ON TIME</v>
      </c>
      <c r="I341" s="5">
        <f>Raw_Data!F341</f>
        <v>8225</v>
      </c>
      <c r="J341" s="5">
        <f t="shared" si="4"/>
        <v>0</v>
      </c>
    </row>
    <row r="342">
      <c r="A342" s="5" t="str">
        <f>Raw_Data!A342</f>
        <v>TRK100340</v>
      </c>
      <c r="B342" s="5" t="str">
        <f>TRIM(Raw_Data!B342)</f>
        <v>EcomExpress</v>
      </c>
      <c r="C342" s="5" t="str">
        <f>TRIM(Raw_Data!C342)</f>
        <v>Tier 3</v>
      </c>
      <c r="D342" s="6">
        <f>DATEVALUE(TEXT(Raw_Data!D342, "YYYY-MM-DD"))</f>
        <v>46067</v>
      </c>
      <c r="E342" s="6">
        <f>IF(ISBLANK(Raw_Data!E342), "", DATEVALUE(TEXT(Raw_Data!E342, "YYYY-MM-DD")))</f>
        <v>46073</v>
      </c>
      <c r="F342" s="5">
        <f t="shared" si="1"/>
        <v>6</v>
      </c>
      <c r="G342" s="5">
        <f t="shared" si="2"/>
        <v>5</v>
      </c>
      <c r="H342" s="5" t="str">
        <f t="shared" si="3"/>
        <v>ON TIME</v>
      </c>
      <c r="I342" s="5">
        <f>Raw_Data!F342</f>
        <v>1026</v>
      </c>
      <c r="J342" s="5">
        <f t="shared" si="4"/>
        <v>0</v>
      </c>
    </row>
    <row r="343">
      <c r="A343" s="5" t="str">
        <f>Raw_Data!A343</f>
        <v>TRK100341</v>
      </c>
      <c r="B343" s="5" t="str">
        <f>TRIM(Raw_Data!B343)</f>
        <v>BlueDart</v>
      </c>
      <c r="C343" s="5" t="str">
        <f>TRIM(Raw_Data!C343)</f>
        <v>Tier 3</v>
      </c>
      <c r="D343" s="6">
        <f>DATEVALUE(TEXT(Raw_Data!D343, "YYYY-MM-DD"))</f>
        <v>46049</v>
      </c>
      <c r="E343" s="6">
        <f>IF(ISBLANK(Raw_Data!E343), "", DATEVALUE(TEXT(Raw_Data!E343, "YYYY-MM-DD")))</f>
        <v>46055</v>
      </c>
      <c r="F343" s="5">
        <f t="shared" si="1"/>
        <v>6</v>
      </c>
      <c r="G343" s="5">
        <f t="shared" si="2"/>
        <v>5</v>
      </c>
      <c r="H343" s="5" t="str">
        <f t="shared" si="3"/>
        <v>ON TIME</v>
      </c>
      <c r="I343" s="5">
        <f>Raw_Data!F343</f>
        <v>3724</v>
      </c>
      <c r="J343" s="5">
        <f t="shared" si="4"/>
        <v>0</v>
      </c>
    </row>
    <row r="344">
      <c r="A344" s="5" t="str">
        <f>Raw_Data!A344</f>
        <v>TRK100342</v>
      </c>
      <c r="B344" s="5" t="str">
        <f>TRIM(Raw_Data!B344)</f>
        <v>Delhivery</v>
      </c>
      <c r="C344" s="5" t="str">
        <f>TRIM(Raw_Data!C344)</f>
        <v>Metro</v>
      </c>
      <c r="D344" s="6">
        <f>DATEVALUE(TEXT(Raw_Data!D344, "YYYY-MM-DD"))</f>
        <v>46072</v>
      </c>
      <c r="E344" s="6">
        <f>IF(ISBLANK(Raw_Data!E344), "", DATEVALUE(TEXT(Raw_Data!E344, "YYYY-MM-DD")))</f>
        <v>46074</v>
      </c>
      <c r="F344" s="5">
        <f t="shared" si="1"/>
        <v>2</v>
      </c>
      <c r="G344" s="5">
        <f t="shared" si="2"/>
        <v>2</v>
      </c>
      <c r="H344" s="5" t="str">
        <f t="shared" si="3"/>
        <v>ON TIME</v>
      </c>
      <c r="I344" s="5">
        <f>Raw_Data!F344</f>
        <v>10945</v>
      </c>
      <c r="J344" s="5">
        <f t="shared" si="4"/>
        <v>0</v>
      </c>
    </row>
    <row r="345">
      <c r="A345" s="5" t="str">
        <f>Raw_Data!A345</f>
        <v>TRK100343</v>
      </c>
      <c r="B345" s="5" t="str">
        <f>TRIM(Raw_Data!B345)</f>
        <v>Delhivery</v>
      </c>
      <c r="C345" s="5" t="str">
        <f>TRIM(Raw_Data!C345)</f>
        <v>Tier 2</v>
      </c>
      <c r="D345" s="6">
        <f>DATEVALUE(TEXT(Raw_Data!D345, "YYYY-MM-DD"))</f>
        <v>46081</v>
      </c>
      <c r="E345" s="6">
        <f>IF(ISBLANK(Raw_Data!E345), "", DATEVALUE(TEXT(Raw_Data!E345, "YYYY-MM-DD")))</f>
        <v>46085</v>
      </c>
      <c r="F345" s="5">
        <f t="shared" si="1"/>
        <v>4</v>
      </c>
      <c r="G345" s="5">
        <f t="shared" si="2"/>
        <v>3</v>
      </c>
      <c r="H345" s="5" t="str">
        <f t="shared" si="3"/>
        <v>ON TIME</v>
      </c>
      <c r="I345" s="5">
        <f>Raw_Data!F345</f>
        <v>2375</v>
      </c>
      <c r="J345" s="5">
        <f t="shared" si="4"/>
        <v>0</v>
      </c>
    </row>
    <row r="346">
      <c r="A346" s="5" t="str">
        <f>Raw_Data!A346</f>
        <v>TRK100344</v>
      </c>
      <c r="B346" s="5" t="str">
        <f>TRIM(Raw_Data!B346)</f>
        <v>EcomExpress</v>
      </c>
      <c r="C346" s="5" t="str">
        <f>TRIM(Raw_Data!C346)</f>
        <v>Tier 2</v>
      </c>
      <c r="D346" s="6">
        <f>DATEVALUE(TEXT(Raw_Data!D346, "YYYY-MM-DD"))</f>
        <v>46078</v>
      </c>
      <c r="E346" s="6">
        <f>IF(ISBLANK(Raw_Data!E346), "", DATEVALUE(TEXT(Raw_Data!E346, "YYYY-MM-DD")))</f>
        <v>46082</v>
      </c>
      <c r="F346" s="5">
        <f t="shared" si="1"/>
        <v>4</v>
      </c>
      <c r="G346" s="5">
        <f t="shared" si="2"/>
        <v>3</v>
      </c>
      <c r="H346" s="5" t="str">
        <f t="shared" si="3"/>
        <v>ON TIME</v>
      </c>
      <c r="I346" s="5">
        <f>Raw_Data!F346</f>
        <v>2263</v>
      </c>
      <c r="J346" s="5">
        <f t="shared" si="4"/>
        <v>0</v>
      </c>
    </row>
    <row r="347">
      <c r="A347" s="5" t="str">
        <f>Raw_Data!A347</f>
        <v>TRK100345</v>
      </c>
      <c r="B347" s="5" t="str">
        <f>TRIM(Raw_Data!B347)</f>
        <v>BlueDart</v>
      </c>
      <c r="C347" s="5" t="str">
        <f>TRIM(Raw_Data!C347)</f>
        <v>Metro</v>
      </c>
      <c r="D347" s="6">
        <f>DATEVALUE(TEXT(Raw_Data!D347, "YYYY-MM-DD"))</f>
        <v>46069</v>
      </c>
      <c r="E347" s="6">
        <f>IF(ISBLANK(Raw_Data!E347), "", DATEVALUE(TEXT(Raw_Data!E347, "YYYY-MM-DD")))</f>
        <v>46071</v>
      </c>
      <c r="F347" s="5">
        <f t="shared" si="1"/>
        <v>2</v>
      </c>
      <c r="G347" s="5">
        <f t="shared" si="2"/>
        <v>3</v>
      </c>
      <c r="H347" s="5" t="str">
        <f t="shared" si="3"/>
        <v>SLA BREACH</v>
      </c>
      <c r="I347" s="5">
        <f>Raw_Data!F347</f>
        <v>9212</v>
      </c>
      <c r="J347" s="5">
        <f t="shared" si="4"/>
        <v>460.6</v>
      </c>
    </row>
    <row r="348">
      <c r="A348" s="5" t="str">
        <f>Raw_Data!A348</f>
        <v>TRK100346</v>
      </c>
      <c r="B348" s="5" t="str">
        <f>TRIM(Raw_Data!B348)</f>
        <v>EcomExpress</v>
      </c>
      <c r="C348" s="5" t="str">
        <f>TRIM(Raw_Data!C348)</f>
        <v>Tier 3</v>
      </c>
      <c r="D348" s="6">
        <f>DATEVALUE(TEXT(Raw_Data!D348, "YYYY-MM-DD"))</f>
        <v>46068</v>
      </c>
      <c r="E348" s="6">
        <f>IF(ISBLANK(Raw_Data!E348), "", DATEVALUE(TEXT(Raw_Data!E348, "YYYY-MM-DD")))</f>
        <v>46074</v>
      </c>
      <c r="F348" s="5">
        <f t="shared" si="1"/>
        <v>6</v>
      </c>
      <c r="G348" s="5">
        <f t="shared" si="2"/>
        <v>5</v>
      </c>
      <c r="H348" s="5" t="str">
        <f t="shared" si="3"/>
        <v>ON TIME</v>
      </c>
      <c r="I348" s="5">
        <f>Raw_Data!F348</f>
        <v>6297</v>
      </c>
      <c r="J348" s="5">
        <f t="shared" si="4"/>
        <v>0</v>
      </c>
    </row>
    <row r="349">
      <c r="A349" s="5" t="str">
        <f>Raw_Data!A349</f>
        <v>TRK100347</v>
      </c>
      <c r="B349" s="5" t="str">
        <f>TRIM(Raw_Data!B349)</f>
        <v>EcomExpress</v>
      </c>
      <c r="C349" s="5" t="str">
        <f>TRIM(Raw_Data!C349)</f>
        <v>Tier 2</v>
      </c>
      <c r="D349" s="6">
        <f>DATEVALUE(TEXT(Raw_Data!D349, "YYYY-MM-DD"))</f>
        <v>46056</v>
      </c>
      <c r="E349" s="6">
        <f>IF(ISBLANK(Raw_Data!E349), "", DATEVALUE(TEXT(Raw_Data!E349, "YYYY-MM-DD")))</f>
        <v>46060</v>
      </c>
      <c r="F349" s="5">
        <f t="shared" si="1"/>
        <v>4</v>
      </c>
      <c r="G349" s="5">
        <f t="shared" si="2"/>
        <v>4</v>
      </c>
      <c r="H349" s="5" t="str">
        <f t="shared" si="3"/>
        <v>ON TIME</v>
      </c>
      <c r="I349" s="5">
        <f>Raw_Data!F349</f>
        <v>9708</v>
      </c>
      <c r="J349" s="5">
        <f t="shared" si="4"/>
        <v>0</v>
      </c>
    </row>
    <row r="350">
      <c r="A350" s="5" t="str">
        <f>Raw_Data!A350</f>
        <v>TRK100348</v>
      </c>
      <c r="B350" s="5" t="str">
        <f>TRIM(Raw_Data!B350)</f>
        <v>Delhivery</v>
      </c>
      <c r="C350" s="5" t="str">
        <f>TRIM(Raw_Data!C350)</f>
        <v>Tier 3</v>
      </c>
      <c r="D350" s="6">
        <f>DATEVALUE(TEXT(Raw_Data!D350, "YYYY-MM-DD"))</f>
        <v>46058</v>
      </c>
      <c r="E350" s="6">
        <f>IF(ISBLANK(Raw_Data!E350), "", DATEVALUE(TEXT(Raw_Data!E350, "YYYY-MM-DD")))</f>
        <v>46064</v>
      </c>
      <c r="F350" s="5">
        <f t="shared" si="1"/>
        <v>6</v>
      </c>
      <c r="G350" s="5">
        <f t="shared" si="2"/>
        <v>5</v>
      </c>
      <c r="H350" s="5" t="str">
        <f t="shared" si="3"/>
        <v>ON TIME</v>
      </c>
      <c r="I350" s="5">
        <f>Raw_Data!F350</f>
        <v>7599</v>
      </c>
      <c r="J350" s="5">
        <f t="shared" si="4"/>
        <v>0</v>
      </c>
    </row>
    <row r="351">
      <c r="A351" s="5" t="str">
        <f>Raw_Data!A351</f>
        <v>TRK100349</v>
      </c>
      <c r="B351" s="5" t="str">
        <f>TRIM(Raw_Data!B351)</f>
        <v>Delhivery</v>
      </c>
      <c r="C351" s="5" t="str">
        <f>TRIM(Raw_Data!C351)</f>
        <v>Metro</v>
      </c>
      <c r="D351" s="6">
        <f>DATEVALUE(TEXT(Raw_Data!D351, "YYYY-MM-DD"))</f>
        <v>46065</v>
      </c>
      <c r="E351" s="6">
        <f>IF(ISBLANK(Raw_Data!E351), "", DATEVALUE(TEXT(Raw_Data!E351, "YYYY-MM-DD")))</f>
        <v>46067</v>
      </c>
      <c r="F351" s="5">
        <f t="shared" si="1"/>
        <v>2</v>
      </c>
      <c r="G351" s="5">
        <f t="shared" si="2"/>
        <v>2</v>
      </c>
      <c r="H351" s="5" t="str">
        <f t="shared" si="3"/>
        <v>ON TIME</v>
      </c>
      <c r="I351" s="5">
        <f>Raw_Data!F351</f>
        <v>5609</v>
      </c>
      <c r="J351" s="5">
        <f t="shared" si="4"/>
        <v>0</v>
      </c>
    </row>
    <row r="352">
      <c r="A352" s="5" t="str">
        <f>Raw_Data!A352</f>
        <v>TRK100350</v>
      </c>
      <c r="B352" s="5" t="str">
        <f>TRIM(Raw_Data!B352)</f>
        <v>EcomExpress</v>
      </c>
      <c r="C352" s="5" t="str">
        <f>TRIM(Raw_Data!C352)</f>
        <v>Metro</v>
      </c>
      <c r="D352" s="6">
        <f>DATEVALUE(TEXT(Raw_Data!D352, "YYYY-MM-DD"))</f>
        <v>46056</v>
      </c>
      <c r="E352" s="6">
        <f>IF(ISBLANK(Raw_Data!E352), "", DATEVALUE(TEXT(Raw_Data!E352, "YYYY-MM-DD")))</f>
        <v>46058</v>
      </c>
      <c r="F352" s="5">
        <f t="shared" si="1"/>
        <v>2</v>
      </c>
      <c r="G352" s="5">
        <f t="shared" si="2"/>
        <v>3</v>
      </c>
      <c r="H352" s="5" t="str">
        <f t="shared" si="3"/>
        <v>SLA BREACH</v>
      </c>
      <c r="I352" s="5">
        <f>Raw_Data!F352</f>
        <v>7144</v>
      </c>
      <c r="J352" s="5">
        <f t="shared" si="4"/>
        <v>357.2</v>
      </c>
    </row>
    <row r="353">
      <c r="A353" s="5" t="str">
        <f>Raw_Data!A353</f>
        <v>TRK100351</v>
      </c>
      <c r="B353" s="5" t="str">
        <f>TRIM(Raw_Data!B353)</f>
        <v>Delhivery</v>
      </c>
      <c r="C353" s="5" t="str">
        <f>TRIM(Raw_Data!C353)</f>
        <v>Tier 2</v>
      </c>
      <c r="D353" s="6">
        <f>DATEVALUE(TEXT(Raw_Data!D353, "YYYY-MM-DD"))</f>
        <v>46043</v>
      </c>
      <c r="E353" s="6">
        <f>IF(ISBLANK(Raw_Data!E353), "", DATEVALUE(TEXT(Raw_Data!E353, "YYYY-MM-DD")))</f>
        <v>46049</v>
      </c>
      <c r="F353" s="5">
        <f t="shared" si="1"/>
        <v>4</v>
      </c>
      <c r="G353" s="5">
        <f t="shared" si="2"/>
        <v>5</v>
      </c>
      <c r="H353" s="5" t="str">
        <f t="shared" si="3"/>
        <v>SLA BREACH</v>
      </c>
      <c r="I353" s="5">
        <f>Raw_Data!F353</f>
        <v>616</v>
      </c>
      <c r="J353" s="5">
        <f t="shared" si="4"/>
        <v>30.8</v>
      </c>
    </row>
    <row r="354">
      <c r="A354" s="5" t="str">
        <f>Raw_Data!A354</f>
        <v>TRK100352</v>
      </c>
      <c r="B354" s="5" t="str">
        <f>TRIM(Raw_Data!B354)</f>
        <v>Delhivery</v>
      </c>
      <c r="C354" s="5" t="str">
        <f>TRIM(Raw_Data!C354)</f>
        <v>Tier 2</v>
      </c>
      <c r="D354" s="6">
        <f>DATEVALUE(TEXT(Raw_Data!D354, "YYYY-MM-DD"))</f>
        <v>46052</v>
      </c>
      <c r="E354" s="6">
        <f>IF(ISBLANK(Raw_Data!E354), "", DATEVALUE(TEXT(Raw_Data!E354, "YYYY-MM-DD")))</f>
        <v>46056</v>
      </c>
      <c r="F354" s="5">
        <f t="shared" si="1"/>
        <v>4</v>
      </c>
      <c r="G354" s="5">
        <f t="shared" si="2"/>
        <v>3</v>
      </c>
      <c r="H354" s="5" t="str">
        <f t="shared" si="3"/>
        <v>ON TIME</v>
      </c>
      <c r="I354" s="5">
        <f>Raw_Data!F354</f>
        <v>2933</v>
      </c>
      <c r="J354" s="5">
        <f t="shared" si="4"/>
        <v>0</v>
      </c>
    </row>
    <row r="355">
      <c r="A355" s="5" t="str">
        <f>Raw_Data!A355</f>
        <v>TRK100353</v>
      </c>
      <c r="B355" s="5" t="str">
        <f>TRIM(Raw_Data!B355)</f>
        <v>Delhivery</v>
      </c>
      <c r="C355" s="5" t="str">
        <f>TRIM(Raw_Data!C355)</f>
        <v>Tier 3</v>
      </c>
      <c r="D355" s="6">
        <f>DATEVALUE(TEXT(Raw_Data!D355, "YYYY-MM-DD"))</f>
        <v>46044</v>
      </c>
      <c r="E355" s="6">
        <f>IF(ISBLANK(Raw_Data!E355), "", DATEVALUE(TEXT(Raw_Data!E355, "YYYY-MM-DD")))</f>
        <v>46050</v>
      </c>
      <c r="F355" s="5">
        <f t="shared" si="1"/>
        <v>6</v>
      </c>
      <c r="G355" s="5">
        <f t="shared" si="2"/>
        <v>5</v>
      </c>
      <c r="H355" s="5" t="str">
        <f t="shared" si="3"/>
        <v>ON TIME</v>
      </c>
      <c r="I355" s="5">
        <f>Raw_Data!F355</f>
        <v>5963</v>
      </c>
      <c r="J355" s="5">
        <f t="shared" si="4"/>
        <v>0</v>
      </c>
    </row>
    <row r="356">
      <c r="A356" s="5" t="str">
        <f>Raw_Data!A356</f>
        <v>TRK100354</v>
      </c>
      <c r="B356" s="5" t="str">
        <f>TRIM(Raw_Data!B356)</f>
        <v>EcomExpress</v>
      </c>
      <c r="C356" s="5" t="str">
        <f>TRIM(Raw_Data!C356)</f>
        <v>Tier 2</v>
      </c>
      <c r="D356" s="6">
        <f>DATEVALUE(TEXT(Raw_Data!D356, "YYYY-MM-DD"))</f>
        <v>46045</v>
      </c>
      <c r="E356" s="6">
        <f>IF(ISBLANK(Raw_Data!E356), "", DATEVALUE(TEXT(Raw_Data!E356, "YYYY-MM-DD")))</f>
        <v>46049</v>
      </c>
      <c r="F356" s="5">
        <f t="shared" si="1"/>
        <v>4</v>
      </c>
      <c r="G356" s="5">
        <f t="shared" si="2"/>
        <v>3</v>
      </c>
      <c r="H356" s="5" t="str">
        <f t="shared" si="3"/>
        <v>ON TIME</v>
      </c>
      <c r="I356" s="5">
        <f>Raw_Data!F356</f>
        <v>1083</v>
      </c>
      <c r="J356" s="5">
        <f t="shared" si="4"/>
        <v>0</v>
      </c>
    </row>
    <row r="357">
      <c r="A357" s="5" t="str">
        <f>Raw_Data!A357</f>
        <v>TRK100355</v>
      </c>
      <c r="B357" s="5" t="str">
        <f>TRIM(Raw_Data!B357)</f>
        <v>Delhivery</v>
      </c>
      <c r="C357" s="5" t="str">
        <f>TRIM(Raw_Data!C357)</f>
        <v>Metro</v>
      </c>
      <c r="D357" s="6">
        <f>DATEVALUE(TEXT(Raw_Data!D357, "YYYY-MM-DD"))</f>
        <v>46072</v>
      </c>
      <c r="E357" s="6">
        <f>IF(ISBLANK(Raw_Data!E357), "", DATEVALUE(TEXT(Raw_Data!E357, "YYYY-MM-DD")))</f>
        <v>46074</v>
      </c>
      <c r="F357" s="5">
        <f t="shared" si="1"/>
        <v>2</v>
      </c>
      <c r="G357" s="5">
        <f t="shared" si="2"/>
        <v>2</v>
      </c>
      <c r="H357" s="5" t="str">
        <f t="shared" si="3"/>
        <v>ON TIME</v>
      </c>
      <c r="I357" s="5">
        <f>Raw_Data!F357</f>
        <v>9086</v>
      </c>
      <c r="J357" s="5">
        <f t="shared" si="4"/>
        <v>0</v>
      </c>
    </row>
    <row r="358">
      <c r="A358" s="5" t="str">
        <f>Raw_Data!A358</f>
        <v>TRK100356</v>
      </c>
      <c r="B358" s="5" t="str">
        <f>TRIM(Raw_Data!B358)</f>
        <v>EcomExpress</v>
      </c>
      <c r="C358" s="5" t="str">
        <f>TRIM(Raw_Data!C358)</f>
        <v>Metro</v>
      </c>
      <c r="D358" s="6">
        <f>DATEVALUE(TEXT(Raw_Data!D358, "YYYY-MM-DD"))</f>
        <v>46066</v>
      </c>
      <c r="E358" s="6">
        <f>IF(ISBLANK(Raw_Data!E358), "", DATEVALUE(TEXT(Raw_Data!E358, "YYYY-MM-DD")))</f>
        <v>46068</v>
      </c>
      <c r="F358" s="5">
        <f t="shared" si="1"/>
        <v>2</v>
      </c>
      <c r="G358" s="5">
        <f t="shared" si="2"/>
        <v>1</v>
      </c>
      <c r="H358" s="5" t="str">
        <f t="shared" si="3"/>
        <v>ON TIME</v>
      </c>
      <c r="I358" s="5">
        <f>Raw_Data!F358</f>
        <v>4288</v>
      </c>
      <c r="J358" s="5">
        <f t="shared" si="4"/>
        <v>0</v>
      </c>
    </row>
    <row r="359">
      <c r="A359" s="5" t="str">
        <f>Raw_Data!A359</f>
        <v>TRK100357</v>
      </c>
      <c r="B359" s="5" t="str">
        <f>TRIM(Raw_Data!B359)</f>
        <v>Delhivery</v>
      </c>
      <c r="C359" s="5" t="str">
        <f>TRIM(Raw_Data!C359)</f>
        <v>Metro</v>
      </c>
      <c r="D359" s="6">
        <f>DATEVALUE(TEXT(Raw_Data!D359, "YYYY-MM-DD"))</f>
        <v>46074</v>
      </c>
      <c r="E359" s="6">
        <f>IF(ISBLANK(Raw_Data!E359), "", DATEVALUE(TEXT(Raw_Data!E359, "YYYY-MM-DD")))</f>
        <v>46076</v>
      </c>
      <c r="F359" s="5">
        <f t="shared" si="1"/>
        <v>2</v>
      </c>
      <c r="G359" s="5">
        <f t="shared" si="2"/>
        <v>1</v>
      </c>
      <c r="H359" s="5" t="str">
        <f t="shared" si="3"/>
        <v>ON TIME</v>
      </c>
      <c r="I359" s="5">
        <f>Raw_Data!F359</f>
        <v>11460</v>
      </c>
      <c r="J359" s="5">
        <f t="shared" si="4"/>
        <v>0</v>
      </c>
    </row>
    <row r="360">
      <c r="A360" s="5" t="str">
        <f>Raw_Data!A360</f>
        <v>TRK100358</v>
      </c>
      <c r="B360" s="5" t="str">
        <f>TRIM(Raw_Data!B360)</f>
        <v>BlueDart</v>
      </c>
      <c r="C360" s="5" t="str">
        <f>TRIM(Raw_Data!C360)</f>
        <v>Tier 3</v>
      </c>
      <c r="D360" s="6">
        <f>DATEVALUE(TEXT(Raw_Data!D360, "YYYY-MM-DD"))</f>
        <v>46039</v>
      </c>
      <c r="E360" s="6">
        <f>IF(ISBLANK(Raw_Data!E360), "", DATEVALUE(TEXT(Raw_Data!E360, "YYYY-MM-DD")))</f>
        <v>46048</v>
      </c>
      <c r="F360" s="5">
        <f t="shared" si="1"/>
        <v>6</v>
      </c>
      <c r="G360" s="5">
        <f t="shared" si="2"/>
        <v>6</v>
      </c>
      <c r="H360" s="5" t="str">
        <f t="shared" si="3"/>
        <v>ON TIME</v>
      </c>
      <c r="I360" s="5">
        <f>Raw_Data!F360</f>
        <v>4667</v>
      </c>
      <c r="J360" s="5">
        <f t="shared" si="4"/>
        <v>0</v>
      </c>
    </row>
    <row r="361">
      <c r="A361" s="5" t="str">
        <f>Raw_Data!A361</f>
        <v>TRK100359</v>
      </c>
      <c r="B361" s="5" t="str">
        <f>TRIM(Raw_Data!B361)</f>
        <v>Delhivery</v>
      </c>
      <c r="C361" s="5" t="str">
        <f>TRIM(Raw_Data!C361)</f>
        <v>Tier 2</v>
      </c>
      <c r="D361" s="6">
        <f>DATEVALUE(TEXT(Raw_Data!D361, "YYYY-MM-DD"))</f>
        <v>46053</v>
      </c>
      <c r="E361" s="6">
        <f>IF(ISBLANK(Raw_Data!E361), "", DATEVALUE(TEXT(Raw_Data!E361, "YYYY-MM-DD")))</f>
        <v>46057</v>
      </c>
      <c r="F361" s="5">
        <f t="shared" si="1"/>
        <v>4</v>
      </c>
      <c r="G361" s="5">
        <f t="shared" si="2"/>
        <v>3</v>
      </c>
      <c r="H361" s="5" t="str">
        <f t="shared" si="3"/>
        <v>ON TIME</v>
      </c>
      <c r="I361" s="5">
        <f>Raw_Data!F361</f>
        <v>8965</v>
      </c>
      <c r="J361" s="5">
        <f t="shared" si="4"/>
        <v>0</v>
      </c>
    </row>
    <row r="362">
      <c r="A362" s="5" t="str">
        <f>Raw_Data!A362</f>
        <v>TRK100360</v>
      </c>
      <c r="B362" s="5" t="str">
        <f>TRIM(Raw_Data!B362)</f>
        <v>EcomExpress</v>
      </c>
      <c r="C362" s="5" t="str">
        <f>TRIM(Raw_Data!C362)</f>
        <v>Tier 3</v>
      </c>
      <c r="D362" s="6">
        <f>DATEVALUE(TEXT(Raw_Data!D362, "YYYY-MM-DD"))</f>
        <v>46038</v>
      </c>
      <c r="E362" s="6">
        <f>IF(ISBLANK(Raw_Data!E362), "", DATEVALUE(TEXT(Raw_Data!E362, "YYYY-MM-DD")))</f>
        <v>46044</v>
      </c>
      <c r="F362" s="5">
        <f t="shared" si="1"/>
        <v>6</v>
      </c>
      <c r="G362" s="5">
        <f t="shared" si="2"/>
        <v>5</v>
      </c>
      <c r="H362" s="5" t="str">
        <f t="shared" si="3"/>
        <v>ON TIME</v>
      </c>
      <c r="I362" s="5">
        <f>Raw_Data!F362</f>
        <v>10705</v>
      </c>
      <c r="J362" s="5">
        <f t="shared" si="4"/>
        <v>0</v>
      </c>
    </row>
    <row r="363">
      <c r="A363" s="5" t="str">
        <f>Raw_Data!A363</f>
        <v>TRK100361</v>
      </c>
      <c r="B363" s="5" t="str">
        <f>TRIM(Raw_Data!B363)</f>
        <v>Delhivery</v>
      </c>
      <c r="C363" s="5" t="str">
        <f>TRIM(Raw_Data!C363)</f>
        <v>Tier 3</v>
      </c>
      <c r="D363" s="6">
        <f>DATEVALUE(TEXT(Raw_Data!D363, "YYYY-MM-DD"))</f>
        <v>46058</v>
      </c>
      <c r="E363" s="6">
        <f>IF(ISBLANK(Raw_Data!E363), "", DATEVALUE(TEXT(Raw_Data!E363, "YYYY-MM-DD")))</f>
        <v>46064</v>
      </c>
      <c r="F363" s="5">
        <f t="shared" si="1"/>
        <v>6</v>
      </c>
      <c r="G363" s="5">
        <f t="shared" si="2"/>
        <v>5</v>
      </c>
      <c r="H363" s="5" t="str">
        <f t="shared" si="3"/>
        <v>ON TIME</v>
      </c>
      <c r="I363" s="5">
        <f>Raw_Data!F363</f>
        <v>1889</v>
      </c>
      <c r="J363" s="5">
        <f t="shared" si="4"/>
        <v>0</v>
      </c>
    </row>
    <row r="364">
      <c r="A364" s="5" t="str">
        <f>Raw_Data!A364</f>
        <v>TRK100362</v>
      </c>
      <c r="B364" s="5" t="str">
        <f>TRIM(Raw_Data!B364)</f>
        <v>EcomExpress</v>
      </c>
      <c r="C364" s="5" t="str">
        <f>TRIM(Raw_Data!C364)</f>
        <v>Tier 2</v>
      </c>
      <c r="D364" s="6">
        <f>DATEVALUE(TEXT(Raw_Data!D364, "YYYY-MM-DD"))</f>
        <v>46037</v>
      </c>
      <c r="E364" s="6">
        <f>IF(ISBLANK(Raw_Data!E364), "", DATEVALUE(TEXT(Raw_Data!E364, "YYYY-MM-DD")))</f>
        <v>46041</v>
      </c>
      <c r="F364" s="5">
        <f t="shared" si="1"/>
        <v>4</v>
      </c>
      <c r="G364" s="5">
        <f t="shared" si="2"/>
        <v>3</v>
      </c>
      <c r="H364" s="5" t="str">
        <f t="shared" si="3"/>
        <v>ON TIME</v>
      </c>
      <c r="I364" s="5">
        <f>Raw_Data!F364</f>
        <v>8857</v>
      </c>
      <c r="J364" s="5">
        <f t="shared" si="4"/>
        <v>0</v>
      </c>
    </row>
    <row r="365">
      <c r="A365" s="5" t="str">
        <f>Raw_Data!A365</f>
        <v>TRK100363</v>
      </c>
      <c r="B365" s="5" t="str">
        <f>TRIM(Raw_Data!B365)</f>
        <v>EcomExpress</v>
      </c>
      <c r="C365" s="5" t="str">
        <f>TRIM(Raw_Data!C365)</f>
        <v>Metro</v>
      </c>
      <c r="D365" s="6">
        <f>DATEVALUE(TEXT(Raw_Data!D365, "YYYY-MM-DD"))</f>
        <v>46072</v>
      </c>
      <c r="E365" s="6">
        <f>IF(ISBLANK(Raw_Data!E365), "", DATEVALUE(TEXT(Raw_Data!E365, "YYYY-MM-DD")))</f>
        <v>46074</v>
      </c>
      <c r="F365" s="5">
        <f t="shared" si="1"/>
        <v>2</v>
      </c>
      <c r="G365" s="5">
        <f t="shared" si="2"/>
        <v>2</v>
      </c>
      <c r="H365" s="5" t="str">
        <f t="shared" si="3"/>
        <v>ON TIME</v>
      </c>
      <c r="I365" s="5">
        <f>Raw_Data!F365</f>
        <v>10259</v>
      </c>
      <c r="J365" s="5">
        <f t="shared" si="4"/>
        <v>0</v>
      </c>
    </row>
    <row r="366">
      <c r="A366" s="5" t="str">
        <f>Raw_Data!A366</f>
        <v>TRK100364</v>
      </c>
      <c r="B366" s="5" t="str">
        <f>TRIM(Raw_Data!B366)</f>
        <v>Delhivery</v>
      </c>
      <c r="C366" s="5" t="str">
        <f>TRIM(Raw_Data!C366)</f>
        <v>Tier 2</v>
      </c>
      <c r="D366" s="6">
        <f>DATEVALUE(TEXT(Raw_Data!D366, "YYYY-MM-DD"))</f>
        <v>46068</v>
      </c>
      <c r="E366" s="6">
        <f>IF(ISBLANK(Raw_Data!E366), "", DATEVALUE(TEXT(Raw_Data!E366, "YYYY-MM-DD")))</f>
        <v>46075</v>
      </c>
      <c r="F366" s="5">
        <f t="shared" si="1"/>
        <v>4</v>
      </c>
      <c r="G366" s="5">
        <f t="shared" si="2"/>
        <v>5</v>
      </c>
      <c r="H366" s="5" t="str">
        <f t="shared" si="3"/>
        <v>SLA BREACH</v>
      </c>
      <c r="I366" s="5">
        <f>Raw_Data!F366</f>
        <v>6654</v>
      </c>
      <c r="J366" s="5">
        <f t="shared" si="4"/>
        <v>332.7</v>
      </c>
    </row>
    <row r="367">
      <c r="A367" s="5" t="str">
        <f>Raw_Data!A367</f>
        <v>TRK100365</v>
      </c>
      <c r="B367" s="5" t="str">
        <f>TRIM(Raw_Data!B367)</f>
        <v>EcomExpress</v>
      </c>
      <c r="C367" s="5" t="str">
        <f>TRIM(Raw_Data!C367)</f>
        <v>Tier 2</v>
      </c>
      <c r="D367" s="6">
        <f>DATEVALUE(TEXT(Raw_Data!D367, "YYYY-MM-DD"))</f>
        <v>46067</v>
      </c>
      <c r="E367" s="6">
        <f>IF(ISBLANK(Raw_Data!E367), "", DATEVALUE(TEXT(Raw_Data!E367, "YYYY-MM-DD")))</f>
        <v>46071</v>
      </c>
      <c r="F367" s="5">
        <f t="shared" si="1"/>
        <v>4</v>
      </c>
      <c r="G367" s="5">
        <f t="shared" si="2"/>
        <v>3</v>
      </c>
      <c r="H367" s="5" t="str">
        <f t="shared" si="3"/>
        <v>ON TIME</v>
      </c>
      <c r="I367" s="5">
        <f>Raw_Data!F367</f>
        <v>5920</v>
      </c>
      <c r="J367" s="5">
        <f t="shared" si="4"/>
        <v>0</v>
      </c>
    </row>
    <row r="368">
      <c r="A368" s="5" t="str">
        <f>Raw_Data!A368</f>
        <v>TRK100366</v>
      </c>
      <c r="B368" s="5" t="str">
        <f>TRIM(Raw_Data!B368)</f>
        <v>Delhivery</v>
      </c>
      <c r="C368" s="5" t="str">
        <f>TRIM(Raw_Data!C368)</f>
        <v>Tier 2</v>
      </c>
      <c r="D368" s="6">
        <f>DATEVALUE(TEXT(Raw_Data!D368, "YYYY-MM-DD"))</f>
        <v>46054</v>
      </c>
      <c r="E368" s="6">
        <f>IF(ISBLANK(Raw_Data!E368), "", DATEVALUE(TEXT(Raw_Data!E368, "YYYY-MM-DD")))</f>
        <v>46061</v>
      </c>
      <c r="F368" s="5">
        <f t="shared" si="1"/>
        <v>4</v>
      </c>
      <c r="G368" s="5">
        <f t="shared" si="2"/>
        <v>5</v>
      </c>
      <c r="H368" s="5" t="str">
        <f t="shared" si="3"/>
        <v>SLA BREACH</v>
      </c>
      <c r="I368" s="5">
        <f>Raw_Data!F368</f>
        <v>9420</v>
      </c>
      <c r="J368" s="5">
        <f t="shared" si="4"/>
        <v>471</v>
      </c>
    </row>
    <row r="369">
      <c r="A369" s="5" t="str">
        <f>Raw_Data!A369</f>
        <v>TRK100367</v>
      </c>
      <c r="B369" s="5" t="str">
        <f>TRIM(Raw_Data!B369)</f>
        <v>BlueDart</v>
      </c>
      <c r="C369" s="5" t="str">
        <f>TRIM(Raw_Data!C369)</f>
        <v>Tier 3</v>
      </c>
      <c r="D369" s="6">
        <f>DATEVALUE(TEXT(Raw_Data!D369, "YYYY-MM-DD"))</f>
        <v>46053</v>
      </c>
      <c r="E369" s="6">
        <f>IF(ISBLANK(Raw_Data!E369), "", DATEVALUE(TEXT(Raw_Data!E369, "YYYY-MM-DD")))</f>
        <v>46061</v>
      </c>
      <c r="F369" s="5">
        <f t="shared" si="1"/>
        <v>6</v>
      </c>
      <c r="G369" s="5">
        <f t="shared" si="2"/>
        <v>5</v>
      </c>
      <c r="H369" s="5" t="str">
        <f t="shared" si="3"/>
        <v>ON TIME</v>
      </c>
      <c r="I369" s="5">
        <f>Raw_Data!F369</f>
        <v>2543</v>
      </c>
      <c r="J369" s="5">
        <f t="shared" si="4"/>
        <v>0</v>
      </c>
    </row>
    <row r="370">
      <c r="A370" s="5" t="str">
        <f>Raw_Data!A370</f>
        <v>TRK100368</v>
      </c>
      <c r="B370" s="5" t="str">
        <f>TRIM(Raw_Data!B370)</f>
        <v>EcomExpress</v>
      </c>
      <c r="C370" s="5" t="str">
        <f>TRIM(Raw_Data!C370)</f>
        <v>Tier 2</v>
      </c>
      <c r="D370" s="6">
        <f>DATEVALUE(TEXT(Raw_Data!D370, "YYYY-MM-DD"))</f>
        <v>46058</v>
      </c>
      <c r="E370" s="6">
        <f>IF(ISBLANK(Raw_Data!E370), "", DATEVALUE(TEXT(Raw_Data!E370, "YYYY-MM-DD")))</f>
        <v>46062</v>
      </c>
      <c r="F370" s="5">
        <f t="shared" si="1"/>
        <v>4</v>
      </c>
      <c r="G370" s="5">
        <f t="shared" si="2"/>
        <v>3</v>
      </c>
      <c r="H370" s="5" t="str">
        <f t="shared" si="3"/>
        <v>ON TIME</v>
      </c>
      <c r="I370" s="5">
        <f>Raw_Data!F370</f>
        <v>4697</v>
      </c>
      <c r="J370" s="5">
        <f t="shared" si="4"/>
        <v>0</v>
      </c>
    </row>
    <row r="371">
      <c r="A371" s="5" t="str">
        <f>Raw_Data!A371</f>
        <v>TRK100369</v>
      </c>
      <c r="B371" s="5" t="str">
        <f>TRIM(Raw_Data!B371)</f>
        <v>EcomExpress</v>
      </c>
      <c r="C371" s="5" t="str">
        <f>TRIM(Raw_Data!C371)</f>
        <v>Metro</v>
      </c>
      <c r="D371" s="6">
        <f>DATEVALUE(TEXT(Raw_Data!D371, "YYYY-MM-DD"))</f>
        <v>46069</v>
      </c>
      <c r="E371" s="6">
        <f>IF(ISBLANK(Raw_Data!E371), "", DATEVALUE(TEXT(Raw_Data!E371, "YYYY-MM-DD")))</f>
        <v>46071</v>
      </c>
      <c r="F371" s="5">
        <f t="shared" si="1"/>
        <v>2</v>
      </c>
      <c r="G371" s="5">
        <f t="shared" si="2"/>
        <v>3</v>
      </c>
      <c r="H371" s="5" t="str">
        <f t="shared" si="3"/>
        <v>SLA BREACH</v>
      </c>
      <c r="I371" s="5">
        <f>Raw_Data!F371</f>
        <v>3996</v>
      </c>
      <c r="J371" s="5">
        <f t="shared" si="4"/>
        <v>199.8</v>
      </c>
    </row>
    <row r="372">
      <c r="A372" s="5" t="str">
        <f>Raw_Data!A372</f>
        <v>TRK100370</v>
      </c>
      <c r="B372" s="5" t="str">
        <f>TRIM(Raw_Data!B372)</f>
        <v>EcomExpress</v>
      </c>
      <c r="C372" s="5" t="str">
        <f>TRIM(Raw_Data!C372)</f>
        <v>Tier 2</v>
      </c>
      <c r="D372" s="6">
        <f>DATEVALUE(TEXT(Raw_Data!D372, "YYYY-MM-DD"))</f>
        <v>46041</v>
      </c>
      <c r="E372" s="6">
        <f>IF(ISBLANK(Raw_Data!E372), "", DATEVALUE(TEXT(Raw_Data!E372, "YYYY-MM-DD")))</f>
        <v>46045</v>
      </c>
      <c r="F372" s="5">
        <f t="shared" si="1"/>
        <v>4</v>
      </c>
      <c r="G372" s="5">
        <f t="shared" si="2"/>
        <v>5</v>
      </c>
      <c r="H372" s="5" t="str">
        <f t="shared" si="3"/>
        <v>SLA BREACH</v>
      </c>
      <c r="I372" s="5">
        <f>Raw_Data!F372</f>
        <v>1278</v>
      </c>
      <c r="J372" s="5">
        <f t="shared" si="4"/>
        <v>63.9</v>
      </c>
    </row>
    <row r="373">
      <c r="A373" s="5" t="str">
        <f>Raw_Data!A373</f>
        <v>TRK100371</v>
      </c>
      <c r="B373" s="5" t="str">
        <f>TRIM(Raw_Data!B373)</f>
        <v>EcomExpress</v>
      </c>
      <c r="C373" s="5" t="str">
        <f>TRIM(Raw_Data!C373)</f>
        <v>Metro</v>
      </c>
      <c r="D373" s="6">
        <f>DATEVALUE(TEXT(Raw_Data!D373, "YYYY-MM-DD"))</f>
        <v>46059</v>
      </c>
      <c r="E373" s="6">
        <f>IF(ISBLANK(Raw_Data!E373), "", DATEVALUE(TEXT(Raw_Data!E373, "YYYY-MM-DD")))</f>
        <v>46061</v>
      </c>
      <c r="F373" s="5">
        <f t="shared" si="1"/>
        <v>2</v>
      </c>
      <c r="G373" s="5">
        <f t="shared" si="2"/>
        <v>1</v>
      </c>
      <c r="H373" s="5" t="str">
        <f t="shared" si="3"/>
        <v>ON TIME</v>
      </c>
      <c r="I373" s="5">
        <f>Raw_Data!F373</f>
        <v>713</v>
      </c>
      <c r="J373" s="5">
        <f t="shared" si="4"/>
        <v>0</v>
      </c>
    </row>
    <row r="374">
      <c r="A374" s="5" t="str">
        <f>Raw_Data!A374</f>
        <v>TRK100372</v>
      </c>
      <c r="B374" s="5" t="str">
        <f>TRIM(Raw_Data!B374)</f>
        <v>BlueDart</v>
      </c>
      <c r="C374" s="5" t="str">
        <f>TRIM(Raw_Data!C374)</f>
        <v>Metro</v>
      </c>
      <c r="D374" s="6">
        <f>DATEVALUE(TEXT(Raw_Data!D374, "YYYY-MM-DD"))</f>
        <v>46057</v>
      </c>
      <c r="E374" s="6" t="str">
        <f>IF(ISBLANK(Raw_Data!E374), "", DATEVALUE(TEXT(Raw_Data!E374, "YYYY-MM-DD")))</f>
        <v/>
      </c>
      <c r="F374" s="5">
        <f t="shared" si="1"/>
        <v>2</v>
      </c>
      <c r="G374" s="5" t="str">
        <f t="shared" si="2"/>
        <v>In-Transit</v>
      </c>
      <c r="H374" s="5" t="str">
        <f t="shared" si="3"/>
        <v>Pending</v>
      </c>
      <c r="I374" s="5">
        <f>Raw_Data!F374</f>
        <v>4262</v>
      </c>
      <c r="J374" s="5">
        <f t="shared" si="4"/>
        <v>0</v>
      </c>
    </row>
    <row r="375">
      <c r="A375" s="5" t="str">
        <f>Raw_Data!A375</f>
        <v>TRK100373</v>
      </c>
      <c r="B375" s="5" t="str">
        <f>TRIM(Raw_Data!B375)</f>
        <v>BlueDart</v>
      </c>
      <c r="C375" s="5" t="str">
        <f>TRIM(Raw_Data!C375)</f>
        <v>Metro</v>
      </c>
      <c r="D375" s="6">
        <f>DATEVALUE(TEXT(Raw_Data!D375, "YYYY-MM-DD"))</f>
        <v>46080</v>
      </c>
      <c r="E375" s="6">
        <f>IF(ISBLANK(Raw_Data!E375), "", DATEVALUE(TEXT(Raw_Data!E375, "YYYY-MM-DD")))</f>
        <v>46082</v>
      </c>
      <c r="F375" s="5">
        <f t="shared" si="1"/>
        <v>2</v>
      </c>
      <c r="G375" s="5">
        <f t="shared" si="2"/>
        <v>1</v>
      </c>
      <c r="H375" s="5" t="str">
        <f t="shared" si="3"/>
        <v>ON TIME</v>
      </c>
      <c r="I375" s="5">
        <f>Raw_Data!F375</f>
        <v>10268</v>
      </c>
      <c r="J375" s="5">
        <f t="shared" si="4"/>
        <v>0</v>
      </c>
    </row>
    <row r="376">
      <c r="A376" s="5" t="str">
        <f>Raw_Data!A376</f>
        <v>TRK100374</v>
      </c>
      <c r="B376" s="5" t="str">
        <f>TRIM(Raw_Data!B376)</f>
        <v>Delhivery</v>
      </c>
      <c r="C376" s="5" t="str">
        <f>TRIM(Raw_Data!C376)</f>
        <v>Tier 3</v>
      </c>
      <c r="D376" s="6">
        <f>DATEVALUE(TEXT(Raw_Data!D376, "YYYY-MM-DD"))</f>
        <v>46075</v>
      </c>
      <c r="E376" s="6">
        <f>IF(ISBLANK(Raw_Data!E376), "", DATEVALUE(TEXT(Raw_Data!E376, "YYYY-MM-DD")))</f>
        <v>46081</v>
      </c>
      <c r="F376" s="5">
        <f t="shared" si="1"/>
        <v>6</v>
      </c>
      <c r="G376" s="5">
        <f t="shared" si="2"/>
        <v>5</v>
      </c>
      <c r="H376" s="5" t="str">
        <f t="shared" si="3"/>
        <v>ON TIME</v>
      </c>
      <c r="I376" s="5">
        <f>Raw_Data!F376</f>
        <v>11140</v>
      </c>
      <c r="J376" s="5">
        <f t="shared" si="4"/>
        <v>0</v>
      </c>
    </row>
    <row r="377">
      <c r="A377" s="5" t="str">
        <f>Raw_Data!A377</f>
        <v>TRK100375</v>
      </c>
      <c r="B377" s="5" t="str">
        <f>TRIM(Raw_Data!B377)</f>
        <v>EcomExpress</v>
      </c>
      <c r="C377" s="5" t="str">
        <f>TRIM(Raw_Data!C377)</f>
        <v>Tier 3</v>
      </c>
      <c r="D377" s="6">
        <f>DATEVALUE(TEXT(Raw_Data!D377, "YYYY-MM-DD"))</f>
        <v>46072</v>
      </c>
      <c r="E377" s="6">
        <f>IF(ISBLANK(Raw_Data!E377), "", DATEVALUE(TEXT(Raw_Data!E377, "YYYY-MM-DD")))</f>
        <v>46078</v>
      </c>
      <c r="F377" s="5">
        <f t="shared" si="1"/>
        <v>6</v>
      </c>
      <c r="G377" s="5">
        <f t="shared" si="2"/>
        <v>5</v>
      </c>
      <c r="H377" s="5" t="str">
        <f t="shared" si="3"/>
        <v>ON TIME</v>
      </c>
      <c r="I377" s="5">
        <f>Raw_Data!F377</f>
        <v>7231</v>
      </c>
      <c r="J377" s="5">
        <f t="shared" si="4"/>
        <v>0</v>
      </c>
    </row>
    <row r="378">
      <c r="A378" s="5" t="str">
        <f>Raw_Data!A378</f>
        <v>TRK100376</v>
      </c>
      <c r="B378" s="5" t="str">
        <f>TRIM(Raw_Data!B378)</f>
        <v>EcomExpress</v>
      </c>
      <c r="C378" s="5" t="str">
        <f>TRIM(Raw_Data!C378)</f>
        <v>Tier 3</v>
      </c>
      <c r="D378" s="6">
        <f>DATEVALUE(TEXT(Raw_Data!D378, "YYYY-MM-DD"))</f>
        <v>46032</v>
      </c>
      <c r="E378" s="6">
        <f>IF(ISBLANK(Raw_Data!E378), "", DATEVALUE(TEXT(Raw_Data!E378, "YYYY-MM-DD")))</f>
        <v>46040</v>
      </c>
      <c r="F378" s="5">
        <f t="shared" si="1"/>
        <v>6</v>
      </c>
      <c r="G378" s="5">
        <f t="shared" si="2"/>
        <v>5</v>
      </c>
      <c r="H378" s="5" t="str">
        <f t="shared" si="3"/>
        <v>ON TIME</v>
      </c>
      <c r="I378" s="5">
        <f>Raw_Data!F378</f>
        <v>11628</v>
      </c>
      <c r="J378" s="5">
        <f t="shared" si="4"/>
        <v>0</v>
      </c>
    </row>
    <row r="379">
      <c r="A379" s="5" t="str">
        <f>Raw_Data!A379</f>
        <v>TRK100377</v>
      </c>
      <c r="B379" s="5" t="str">
        <f>TRIM(Raw_Data!B379)</f>
        <v>BlueDart</v>
      </c>
      <c r="C379" s="5" t="str">
        <f>TRIM(Raw_Data!C379)</f>
        <v>Tier 2</v>
      </c>
      <c r="D379" s="6">
        <f>DATEVALUE(TEXT(Raw_Data!D379, "YYYY-MM-DD"))</f>
        <v>46025</v>
      </c>
      <c r="E379" s="6">
        <f>IF(ISBLANK(Raw_Data!E379), "", DATEVALUE(TEXT(Raw_Data!E379, "YYYY-MM-DD")))</f>
        <v>46029</v>
      </c>
      <c r="F379" s="5">
        <f t="shared" si="1"/>
        <v>4</v>
      </c>
      <c r="G379" s="5">
        <f t="shared" si="2"/>
        <v>3</v>
      </c>
      <c r="H379" s="5" t="str">
        <f t="shared" si="3"/>
        <v>ON TIME</v>
      </c>
      <c r="I379" s="5">
        <f>Raw_Data!F379</f>
        <v>3617</v>
      </c>
      <c r="J379" s="5">
        <f t="shared" si="4"/>
        <v>0</v>
      </c>
    </row>
    <row r="380">
      <c r="A380" s="5" t="str">
        <f>Raw_Data!A380</f>
        <v>TRK100378</v>
      </c>
      <c r="B380" s="5" t="str">
        <f>TRIM(Raw_Data!B380)</f>
        <v>Delhivery</v>
      </c>
      <c r="C380" s="5" t="str">
        <f>TRIM(Raw_Data!C380)</f>
        <v>Tier 3</v>
      </c>
      <c r="D380" s="6">
        <f>DATEVALUE(TEXT(Raw_Data!D380, "YYYY-MM-DD"))</f>
        <v>46068</v>
      </c>
      <c r="E380" s="6">
        <f>IF(ISBLANK(Raw_Data!E380), "", DATEVALUE(TEXT(Raw_Data!E380, "YYYY-MM-DD")))</f>
        <v>46075</v>
      </c>
      <c r="F380" s="5">
        <f t="shared" si="1"/>
        <v>6</v>
      </c>
      <c r="G380" s="5">
        <f t="shared" si="2"/>
        <v>5</v>
      </c>
      <c r="H380" s="5" t="str">
        <f t="shared" si="3"/>
        <v>ON TIME</v>
      </c>
      <c r="I380" s="5">
        <f>Raw_Data!F380</f>
        <v>6291</v>
      </c>
      <c r="J380" s="5">
        <f t="shared" si="4"/>
        <v>0</v>
      </c>
    </row>
    <row r="381">
      <c r="A381" s="5" t="str">
        <f>Raw_Data!A381</f>
        <v>TRK100379</v>
      </c>
      <c r="B381" s="5" t="str">
        <f>TRIM(Raw_Data!B381)</f>
        <v>BlueDart</v>
      </c>
      <c r="C381" s="5" t="str">
        <f>TRIM(Raw_Data!C381)</f>
        <v>Tier 2</v>
      </c>
      <c r="D381" s="6">
        <f>DATEVALUE(TEXT(Raw_Data!D381, "YYYY-MM-DD"))</f>
        <v>46045</v>
      </c>
      <c r="E381" s="6">
        <f>IF(ISBLANK(Raw_Data!E381), "", DATEVALUE(TEXT(Raw_Data!E381, "YYYY-MM-DD")))</f>
        <v>46049</v>
      </c>
      <c r="F381" s="5">
        <f t="shared" si="1"/>
        <v>4</v>
      </c>
      <c r="G381" s="5">
        <f t="shared" si="2"/>
        <v>3</v>
      </c>
      <c r="H381" s="5" t="str">
        <f t="shared" si="3"/>
        <v>ON TIME</v>
      </c>
      <c r="I381" s="5">
        <f>Raw_Data!F381</f>
        <v>9283</v>
      </c>
      <c r="J381" s="5">
        <f t="shared" si="4"/>
        <v>0</v>
      </c>
    </row>
    <row r="382">
      <c r="A382" s="5" t="str">
        <f>Raw_Data!A382</f>
        <v>TRK100380</v>
      </c>
      <c r="B382" s="5" t="str">
        <f>TRIM(Raw_Data!B382)</f>
        <v>BlueDart</v>
      </c>
      <c r="C382" s="5" t="str">
        <f>TRIM(Raw_Data!C382)</f>
        <v>Metro</v>
      </c>
      <c r="D382" s="6">
        <f>DATEVALUE(TEXT(Raw_Data!D382, "YYYY-MM-DD"))</f>
        <v>46064</v>
      </c>
      <c r="E382" s="6">
        <f>IF(ISBLANK(Raw_Data!E382), "", DATEVALUE(TEXT(Raw_Data!E382, "YYYY-MM-DD")))</f>
        <v>46066</v>
      </c>
      <c r="F382" s="5">
        <f t="shared" si="1"/>
        <v>2</v>
      </c>
      <c r="G382" s="5">
        <f t="shared" si="2"/>
        <v>3</v>
      </c>
      <c r="H382" s="5" t="str">
        <f t="shared" si="3"/>
        <v>SLA BREACH</v>
      </c>
      <c r="I382" s="5">
        <f>Raw_Data!F382</f>
        <v>3220</v>
      </c>
      <c r="J382" s="5">
        <f t="shared" si="4"/>
        <v>161</v>
      </c>
    </row>
    <row r="383">
      <c r="A383" s="5" t="str">
        <f>Raw_Data!A383</f>
        <v>TRK100381</v>
      </c>
      <c r="B383" s="5" t="str">
        <f>TRIM(Raw_Data!B383)</f>
        <v>Delhivery</v>
      </c>
      <c r="C383" s="5" t="str">
        <f>TRIM(Raw_Data!C383)</f>
        <v>Tier 2</v>
      </c>
      <c r="D383" s="6">
        <f>DATEVALUE(TEXT(Raw_Data!D383, "YYYY-MM-DD"))</f>
        <v>46070</v>
      </c>
      <c r="E383" s="6">
        <f>IF(ISBLANK(Raw_Data!E383), "", DATEVALUE(TEXT(Raw_Data!E383, "YYYY-MM-DD")))</f>
        <v>46074</v>
      </c>
      <c r="F383" s="5">
        <f t="shared" si="1"/>
        <v>4</v>
      </c>
      <c r="G383" s="5">
        <f t="shared" si="2"/>
        <v>4</v>
      </c>
      <c r="H383" s="5" t="str">
        <f t="shared" si="3"/>
        <v>ON TIME</v>
      </c>
      <c r="I383" s="5">
        <f>Raw_Data!F383</f>
        <v>9405</v>
      </c>
      <c r="J383" s="5">
        <f t="shared" si="4"/>
        <v>0</v>
      </c>
    </row>
    <row r="384">
      <c r="A384" s="5" t="str">
        <f>Raw_Data!A384</f>
        <v>TRK100382</v>
      </c>
      <c r="B384" s="5" t="str">
        <f>TRIM(Raw_Data!B384)</f>
        <v>EcomExpress</v>
      </c>
      <c r="C384" s="5" t="str">
        <f>TRIM(Raw_Data!C384)</f>
        <v>Metro</v>
      </c>
      <c r="D384" s="6">
        <f>DATEVALUE(TEXT(Raw_Data!D384, "YYYY-MM-DD"))</f>
        <v>46036</v>
      </c>
      <c r="E384" s="6">
        <f>IF(ISBLANK(Raw_Data!E384), "", DATEVALUE(TEXT(Raw_Data!E384, "YYYY-MM-DD")))</f>
        <v>46038</v>
      </c>
      <c r="F384" s="5">
        <f t="shared" si="1"/>
        <v>2</v>
      </c>
      <c r="G384" s="5">
        <f t="shared" si="2"/>
        <v>3</v>
      </c>
      <c r="H384" s="5" t="str">
        <f t="shared" si="3"/>
        <v>SLA BREACH</v>
      </c>
      <c r="I384" s="5">
        <f>Raw_Data!F384</f>
        <v>9627</v>
      </c>
      <c r="J384" s="5">
        <f t="shared" si="4"/>
        <v>481.35</v>
      </c>
    </row>
    <row r="385">
      <c r="A385" s="5" t="str">
        <f>Raw_Data!A385</f>
        <v>TRK100383</v>
      </c>
      <c r="B385" s="5" t="str">
        <f>TRIM(Raw_Data!B385)</f>
        <v>EcomExpress</v>
      </c>
      <c r="C385" s="5" t="str">
        <f>TRIM(Raw_Data!C385)</f>
        <v>Tier 2</v>
      </c>
      <c r="D385" s="6">
        <f>DATEVALUE(TEXT(Raw_Data!D385, "YYYY-MM-DD"))</f>
        <v>46075</v>
      </c>
      <c r="E385" s="6">
        <f>IF(ISBLANK(Raw_Data!E385), "", DATEVALUE(TEXT(Raw_Data!E385, "YYYY-MM-DD")))</f>
        <v>46081</v>
      </c>
      <c r="F385" s="5">
        <f t="shared" si="1"/>
        <v>4</v>
      </c>
      <c r="G385" s="5">
        <f t="shared" si="2"/>
        <v>5</v>
      </c>
      <c r="H385" s="5" t="str">
        <f t="shared" si="3"/>
        <v>SLA BREACH</v>
      </c>
      <c r="I385" s="5">
        <f>Raw_Data!F385</f>
        <v>6547</v>
      </c>
      <c r="J385" s="5">
        <f t="shared" si="4"/>
        <v>327.35</v>
      </c>
    </row>
    <row r="386">
      <c r="A386" s="5" t="str">
        <f>Raw_Data!A386</f>
        <v>TRK100384</v>
      </c>
      <c r="B386" s="5" t="str">
        <f>TRIM(Raw_Data!B386)</f>
        <v>BlueDart</v>
      </c>
      <c r="C386" s="5" t="str">
        <f>TRIM(Raw_Data!C386)</f>
        <v>Tier 3</v>
      </c>
      <c r="D386" s="6">
        <f>DATEVALUE(TEXT(Raw_Data!D386, "YYYY-MM-DD"))</f>
        <v>46040</v>
      </c>
      <c r="E386" s="6">
        <f>IF(ISBLANK(Raw_Data!E386), "", DATEVALUE(TEXT(Raw_Data!E386, "YYYY-MM-DD")))</f>
        <v>46047</v>
      </c>
      <c r="F386" s="5">
        <f t="shared" si="1"/>
        <v>6</v>
      </c>
      <c r="G386" s="5">
        <f t="shared" si="2"/>
        <v>5</v>
      </c>
      <c r="H386" s="5" t="str">
        <f t="shared" si="3"/>
        <v>ON TIME</v>
      </c>
      <c r="I386" s="5">
        <f>Raw_Data!F386</f>
        <v>8532</v>
      </c>
      <c r="J386" s="5">
        <f t="shared" si="4"/>
        <v>0</v>
      </c>
    </row>
    <row r="387">
      <c r="A387" s="5" t="str">
        <f>Raw_Data!A387</f>
        <v>TRK100385</v>
      </c>
      <c r="B387" s="5" t="str">
        <f>TRIM(Raw_Data!B387)</f>
        <v>BlueDart</v>
      </c>
      <c r="C387" s="5" t="str">
        <f>TRIM(Raw_Data!C387)</f>
        <v>Metro</v>
      </c>
      <c r="D387" s="6">
        <f>DATEVALUE(TEXT(Raw_Data!D387, "YYYY-MM-DD"))</f>
        <v>46067</v>
      </c>
      <c r="E387" s="6">
        <f>IF(ISBLANK(Raw_Data!E387), "", DATEVALUE(TEXT(Raw_Data!E387, "YYYY-MM-DD")))</f>
        <v>46070</v>
      </c>
      <c r="F387" s="5">
        <f t="shared" si="1"/>
        <v>2</v>
      </c>
      <c r="G387" s="5">
        <f t="shared" si="2"/>
        <v>2</v>
      </c>
      <c r="H387" s="5" t="str">
        <f t="shared" si="3"/>
        <v>ON TIME</v>
      </c>
      <c r="I387" s="5">
        <f>Raw_Data!F387</f>
        <v>501</v>
      </c>
      <c r="J387" s="5">
        <f t="shared" si="4"/>
        <v>0</v>
      </c>
    </row>
    <row r="388">
      <c r="A388" s="5" t="str">
        <f>Raw_Data!A388</f>
        <v>TRK100386</v>
      </c>
      <c r="B388" s="5" t="str">
        <f>TRIM(Raw_Data!B388)</f>
        <v>BlueDart</v>
      </c>
      <c r="C388" s="5" t="str">
        <f>TRIM(Raw_Data!C388)</f>
        <v>Tier 2</v>
      </c>
      <c r="D388" s="6">
        <f>DATEVALUE(TEXT(Raw_Data!D388, "YYYY-MM-DD"))</f>
        <v>46031</v>
      </c>
      <c r="E388" s="6">
        <f>IF(ISBLANK(Raw_Data!E388), "", DATEVALUE(TEXT(Raw_Data!E388, "YYYY-MM-DD")))</f>
        <v>46035</v>
      </c>
      <c r="F388" s="5">
        <f t="shared" si="1"/>
        <v>4</v>
      </c>
      <c r="G388" s="5">
        <f t="shared" si="2"/>
        <v>3</v>
      </c>
      <c r="H388" s="5" t="str">
        <f t="shared" si="3"/>
        <v>ON TIME</v>
      </c>
      <c r="I388" s="5">
        <f>Raw_Data!F388</f>
        <v>6868</v>
      </c>
      <c r="J388" s="5">
        <f t="shared" si="4"/>
        <v>0</v>
      </c>
    </row>
    <row r="389">
      <c r="A389" s="5" t="str">
        <f>Raw_Data!A389</f>
        <v>TRK100387</v>
      </c>
      <c r="B389" s="5" t="str">
        <f>TRIM(Raw_Data!B389)</f>
        <v>Delhivery</v>
      </c>
      <c r="C389" s="5" t="str">
        <f>TRIM(Raw_Data!C389)</f>
        <v>Tier 2</v>
      </c>
      <c r="D389" s="6">
        <f>DATEVALUE(TEXT(Raw_Data!D389, "YYYY-MM-DD"))</f>
        <v>46062</v>
      </c>
      <c r="E389" s="6">
        <f>IF(ISBLANK(Raw_Data!E389), "", DATEVALUE(TEXT(Raw_Data!E389, "YYYY-MM-DD")))</f>
        <v>46066</v>
      </c>
      <c r="F389" s="5">
        <f t="shared" si="1"/>
        <v>4</v>
      </c>
      <c r="G389" s="5">
        <f t="shared" si="2"/>
        <v>5</v>
      </c>
      <c r="H389" s="5" t="str">
        <f t="shared" si="3"/>
        <v>SLA BREACH</v>
      </c>
      <c r="I389" s="5">
        <f>Raw_Data!F389</f>
        <v>11540</v>
      </c>
      <c r="J389" s="5">
        <f t="shared" si="4"/>
        <v>577</v>
      </c>
    </row>
    <row r="390">
      <c r="A390" s="5" t="str">
        <f>Raw_Data!A390</f>
        <v>TRK100388</v>
      </c>
      <c r="B390" s="5" t="str">
        <f>TRIM(Raw_Data!B390)</f>
        <v>Delhivery</v>
      </c>
      <c r="C390" s="5" t="str">
        <f>TRIM(Raw_Data!C390)</f>
        <v>Tier 3</v>
      </c>
      <c r="D390" s="6">
        <f>DATEVALUE(TEXT(Raw_Data!D390, "YYYY-MM-DD"))</f>
        <v>46060</v>
      </c>
      <c r="E390" s="6" t="str">
        <f>IF(ISBLANK(Raw_Data!E390), "", DATEVALUE(TEXT(Raw_Data!E390, "YYYY-MM-DD")))</f>
        <v/>
      </c>
      <c r="F390" s="5">
        <f t="shared" si="1"/>
        <v>6</v>
      </c>
      <c r="G390" s="5" t="str">
        <f t="shared" si="2"/>
        <v>In-Transit</v>
      </c>
      <c r="H390" s="5" t="str">
        <f t="shared" si="3"/>
        <v>Pending</v>
      </c>
      <c r="I390" s="5">
        <f>Raw_Data!F390</f>
        <v>2449</v>
      </c>
      <c r="J390" s="5">
        <f t="shared" si="4"/>
        <v>0</v>
      </c>
    </row>
    <row r="391">
      <c r="A391" s="5" t="str">
        <f>Raw_Data!A391</f>
        <v>TRK100389</v>
      </c>
      <c r="B391" s="5" t="str">
        <f>TRIM(Raw_Data!B391)</f>
        <v>BlueDart</v>
      </c>
      <c r="C391" s="5" t="str">
        <f>TRIM(Raw_Data!C391)</f>
        <v>Tier 3</v>
      </c>
      <c r="D391" s="6">
        <f>DATEVALUE(TEXT(Raw_Data!D391, "YYYY-MM-DD"))</f>
        <v>46038</v>
      </c>
      <c r="E391" s="6">
        <f>IF(ISBLANK(Raw_Data!E391), "", DATEVALUE(TEXT(Raw_Data!E391, "YYYY-MM-DD")))</f>
        <v>46045</v>
      </c>
      <c r="F391" s="5">
        <f t="shared" si="1"/>
        <v>6</v>
      </c>
      <c r="G391" s="5">
        <f t="shared" si="2"/>
        <v>6</v>
      </c>
      <c r="H391" s="5" t="str">
        <f t="shared" si="3"/>
        <v>ON TIME</v>
      </c>
      <c r="I391" s="5">
        <f>Raw_Data!F391</f>
        <v>7232</v>
      </c>
      <c r="J391" s="5">
        <f t="shared" si="4"/>
        <v>0</v>
      </c>
    </row>
    <row r="392">
      <c r="A392" s="5" t="str">
        <f>Raw_Data!A392</f>
        <v>TRK100390</v>
      </c>
      <c r="B392" s="5" t="str">
        <f>TRIM(Raw_Data!B392)</f>
        <v>EcomExpress</v>
      </c>
      <c r="C392" s="5" t="str">
        <f>TRIM(Raw_Data!C392)</f>
        <v>Tier 3</v>
      </c>
      <c r="D392" s="6">
        <f>DATEVALUE(TEXT(Raw_Data!D392, "YYYY-MM-DD"))</f>
        <v>46065</v>
      </c>
      <c r="E392" s="6">
        <f>IF(ISBLANK(Raw_Data!E392), "", DATEVALUE(TEXT(Raw_Data!E392, "YYYY-MM-DD")))</f>
        <v>46076</v>
      </c>
      <c r="F392" s="5">
        <f t="shared" si="1"/>
        <v>6</v>
      </c>
      <c r="G392" s="5">
        <f t="shared" si="2"/>
        <v>8</v>
      </c>
      <c r="H392" s="5" t="str">
        <f t="shared" si="3"/>
        <v>SLA BREACH</v>
      </c>
      <c r="I392" s="5">
        <f>Raw_Data!F392</f>
        <v>8333</v>
      </c>
      <c r="J392" s="5">
        <f t="shared" si="4"/>
        <v>416.65</v>
      </c>
    </row>
    <row r="393">
      <c r="A393" s="5" t="str">
        <f>Raw_Data!A393</f>
        <v>TRK100391</v>
      </c>
      <c r="B393" s="5" t="str">
        <f>TRIM(Raw_Data!B393)</f>
        <v>EcomExpress</v>
      </c>
      <c r="C393" s="5" t="str">
        <f>TRIM(Raw_Data!C393)</f>
        <v>Tier 2</v>
      </c>
      <c r="D393" s="6">
        <f>DATEVALUE(TEXT(Raw_Data!D393, "YYYY-MM-DD"))</f>
        <v>46037</v>
      </c>
      <c r="E393" s="6">
        <f>IF(ISBLANK(Raw_Data!E393), "", DATEVALUE(TEXT(Raw_Data!E393, "YYYY-MM-DD")))</f>
        <v>46041</v>
      </c>
      <c r="F393" s="5">
        <f t="shared" si="1"/>
        <v>4</v>
      </c>
      <c r="G393" s="5">
        <f t="shared" si="2"/>
        <v>3</v>
      </c>
      <c r="H393" s="5" t="str">
        <f t="shared" si="3"/>
        <v>ON TIME</v>
      </c>
      <c r="I393" s="5">
        <f>Raw_Data!F393</f>
        <v>1417</v>
      </c>
      <c r="J393" s="5">
        <f t="shared" si="4"/>
        <v>0</v>
      </c>
    </row>
    <row r="394">
      <c r="A394" s="5" t="str">
        <f>Raw_Data!A394</f>
        <v>TRK100392</v>
      </c>
      <c r="B394" s="5" t="str">
        <f>TRIM(Raw_Data!B394)</f>
        <v>Delhivery</v>
      </c>
      <c r="C394" s="5" t="str">
        <f>TRIM(Raw_Data!C394)</f>
        <v>Tier 3</v>
      </c>
      <c r="D394" s="6">
        <f>DATEVALUE(TEXT(Raw_Data!D394, "YYYY-MM-DD"))</f>
        <v>46037</v>
      </c>
      <c r="E394" s="6">
        <f>IF(ISBLANK(Raw_Data!E394), "", DATEVALUE(TEXT(Raw_Data!E394, "YYYY-MM-DD")))</f>
        <v>46043</v>
      </c>
      <c r="F394" s="5">
        <f t="shared" si="1"/>
        <v>6</v>
      </c>
      <c r="G394" s="5">
        <f t="shared" si="2"/>
        <v>5</v>
      </c>
      <c r="H394" s="5" t="str">
        <f t="shared" si="3"/>
        <v>ON TIME</v>
      </c>
      <c r="I394" s="5">
        <f>Raw_Data!F394</f>
        <v>3674</v>
      </c>
      <c r="J394" s="5">
        <f t="shared" si="4"/>
        <v>0</v>
      </c>
    </row>
    <row r="395">
      <c r="A395" s="5" t="str">
        <f>Raw_Data!A395</f>
        <v>TRK100393</v>
      </c>
      <c r="B395" s="5" t="str">
        <f>TRIM(Raw_Data!B395)</f>
        <v>Delhivery</v>
      </c>
      <c r="C395" s="5" t="str">
        <f>TRIM(Raw_Data!C395)</f>
        <v>Tier 2</v>
      </c>
      <c r="D395" s="6">
        <f>DATEVALUE(TEXT(Raw_Data!D395, "YYYY-MM-DD"))</f>
        <v>46029</v>
      </c>
      <c r="E395" s="6">
        <f>IF(ISBLANK(Raw_Data!E395), "", DATEVALUE(TEXT(Raw_Data!E395, "YYYY-MM-DD")))</f>
        <v>46034</v>
      </c>
      <c r="F395" s="5">
        <f t="shared" si="1"/>
        <v>4</v>
      </c>
      <c r="G395" s="5">
        <f t="shared" si="2"/>
        <v>4</v>
      </c>
      <c r="H395" s="5" t="str">
        <f t="shared" si="3"/>
        <v>ON TIME</v>
      </c>
      <c r="I395" s="5">
        <f>Raw_Data!F395</f>
        <v>10933</v>
      </c>
      <c r="J395" s="5">
        <f t="shared" si="4"/>
        <v>0</v>
      </c>
    </row>
    <row r="396">
      <c r="A396" s="5" t="str">
        <f>Raw_Data!A396</f>
        <v>TRK100394</v>
      </c>
      <c r="B396" s="5" t="str">
        <f>TRIM(Raw_Data!B396)</f>
        <v>EcomExpress</v>
      </c>
      <c r="C396" s="5" t="str">
        <f>TRIM(Raw_Data!C396)</f>
        <v>Tier 3</v>
      </c>
      <c r="D396" s="6">
        <f>DATEVALUE(TEXT(Raw_Data!D396, "YYYY-MM-DD"))</f>
        <v>46044</v>
      </c>
      <c r="E396" s="6">
        <f>IF(ISBLANK(Raw_Data!E396), "", DATEVALUE(TEXT(Raw_Data!E396, "YYYY-MM-DD")))</f>
        <v>46050</v>
      </c>
      <c r="F396" s="5">
        <f t="shared" si="1"/>
        <v>6</v>
      </c>
      <c r="G396" s="5">
        <f t="shared" si="2"/>
        <v>5</v>
      </c>
      <c r="H396" s="5" t="str">
        <f t="shared" si="3"/>
        <v>ON TIME</v>
      </c>
      <c r="I396" s="5">
        <f>Raw_Data!F396</f>
        <v>7514</v>
      </c>
      <c r="J396" s="5">
        <f t="shared" si="4"/>
        <v>0</v>
      </c>
    </row>
    <row r="397">
      <c r="A397" s="5" t="str">
        <f>Raw_Data!A397</f>
        <v>TRK100395</v>
      </c>
      <c r="B397" s="5" t="str">
        <f>TRIM(Raw_Data!B397)</f>
        <v>Delhivery</v>
      </c>
      <c r="C397" s="5" t="str">
        <f>TRIM(Raw_Data!C397)</f>
        <v>Tier 2</v>
      </c>
      <c r="D397" s="6">
        <f>DATEVALUE(TEXT(Raw_Data!D397, "YYYY-MM-DD"))</f>
        <v>46053</v>
      </c>
      <c r="E397" s="6">
        <f>IF(ISBLANK(Raw_Data!E397), "", DATEVALUE(TEXT(Raw_Data!E397, "YYYY-MM-DD")))</f>
        <v>46060</v>
      </c>
      <c r="F397" s="5">
        <f t="shared" si="1"/>
        <v>4</v>
      </c>
      <c r="G397" s="5">
        <f t="shared" si="2"/>
        <v>5</v>
      </c>
      <c r="H397" s="5" t="str">
        <f t="shared" si="3"/>
        <v>SLA BREACH</v>
      </c>
      <c r="I397" s="5">
        <f>Raw_Data!F397</f>
        <v>589</v>
      </c>
      <c r="J397" s="5">
        <f t="shared" si="4"/>
        <v>29.45</v>
      </c>
    </row>
    <row r="398">
      <c r="A398" s="5" t="str">
        <f>Raw_Data!A398</f>
        <v>TRK100396</v>
      </c>
      <c r="B398" s="5" t="str">
        <f>TRIM(Raw_Data!B398)</f>
        <v>EcomExpress</v>
      </c>
      <c r="C398" s="5" t="str">
        <f>TRIM(Raw_Data!C398)</f>
        <v>Metro</v>
      </c>
      <c r="D398" s="6">
        <f>DATEVALUE(TEXT(Raw_Data!D398, "YYYY-MM-DD"))</f>
        <v>46066</v>
      </c>
      <c r="E398" s="6" t="str">
        <f>IF(ISBLANK(Raw_Data!E398), "", DATEVALUE(TEXT(Raw_Data!E398, "YYYY-MM-DD")))</f>
        <v/>
      </c>
      <c r="F398" s="5">
        <f t="shared" si="1"/>
        <v>2</v>
      </c>
      <c r="G398" s="5" t="str">
        <f t="shared" si="2"/>
        <v>In-Transit</v>
      </c>
      <c r="H398" s="5" t="str">
        <f t="shared" si="3"/>
        <v>Pending</v>
      </c>
      <c r="I398" s="5">
        <f>Raw_Data!F398</f>
        <v>2209</v>
      </c>
      <c r="J398" s="5">
        <f t="shared" si="4"/>
        <v>0</v>
      </c>
    </row>
    <row r="399">
      <c r="A399" s="5" t="str">
        <f>Raw_Data!A399</f>
        <v>TRK100397</v>
      </c>
      <c r="B399" s="5" t="str">
        <f>TRIM(Raw_Data!B399)</f>
        <v>BlueDart</v>
      </c>
      <c r="C399" s="5" t="str">
        <f>TRIM(Raw_Data!C399)</f>
        <v>Tier 3</v>
      </c>
      <c r="D399" s="6">
        <f>DATEVALUE(TEXT(Raw_Data!D399, "YYYY-MM-DD"))</f>
        <v>46031</v>
      </c>
      <c r="E399" s="6">
        <f>IF(ISBLANK(Raw_Data!E399), "", DATEVALUE(TEXT(Raw_Data!E399, "YYYY-MM-DD")))</f>
        <v>46037</v>
      </c>
      <c r="F399" s="5">
        <f t="shared" si="1"/>
        <v>6</v>
      </c>
      <c r="G399" s="5">
        <f t="shared" si="2"/>
        <v>5</v>
      </c>
      <c r="H399" s="5" t="str">
        <f t="shared" si="3"/>
        <v>ON TIME</v>
      </c>
      <c r="I399" s="5">
        <f>Raw_Data!F399</f>
        <v>10861</v>
      </c>
      <c r="J399" s="5">
        <f t="shared" si="4"/>
        <v>0</v>
      </c>
    </row>
    <row r="400">
      <c r="A400" s="5" t="str">
        <f>Raw_Data!A400</f>
        <v>TRK100398</v>
      </c>
      <c r="B400" s="5" t="str">
        <f>TRIM(Raw_Data!B400)</f>
        <v>Delhivery</v>
      </c>
      <c r="C400" s="5" t="str">
        <f>TRIM(Raw_Data!C400)</f>
        <v>Metro</v>
      </c>
      <c r="D400" s="6">
        <f>DATEVALUE(TEXT(Raw_Data!D400, "YYYY-MM-DD"))</f>
        <v>46058</v>
      </c>
      <c r="E400" s="6">
        <f>IF(ISBLANK(Raw_Data!E400), "", DATEVALUE(TEXT(Raw_Data!E400, "YYYY-MM-DD")))</f>
        <v>46061</v>
      </c>
      <c r="F400" s="5">
        <f t="shared" si="1"/>
        <v>2</v>
      </c>
      <c r="G400" s="5">
        <f t="shared" si="2"/>
        <v>2</v>
      </c>
      <c r="H400" s="5" t="str">
        <f t="shared" si="3"/>
        <v>ON TIME</v>
      </c>
      <c r="I400" s="5">
        <f>Raw_Data!F400</f>
        <v>3541</v>
      </c>
      <c r="J400" s="5">
        <f t="shared" si="4"/>
        <v>0</v>
      </c>
    </row>
    <row r="401">
      <c r="A401" s="5" t="str">
        <f>Raw_Data!A401</f>
        <v>TRK100399</v>
      </c>
      <c r="B401" s="5" t="str">
        <f>TRIM(Raw_Data!B401)</f>
        <v>BlueDart</v>
      </c>
      <c r="C401" s="5" t="str">
        <f>TRIM(Raw_Data!C401)</f>
        <v>Tier 2</v>
      </c>
      <c r="D401" s="6">
        <f>DATEVALUE(TEXT(Raw_Data!D401, "YYYY-MM-DD"))</f>
        <v>46049</v>
      </c>
      <c r="E401" s="6">
        <f>IF(ISBLANK(Raw_Data!E401), "", DATEVALUE(TEXT(Raw_Data!E401, "YYYY-MM-DD")))</f>
        <v>46054</v>
      </c>
      <c r="F401" s="5">
        <f t="shared" si="1"/>
        <v>4</v>
      </c>
      <c r="G401" s="5">
        <f t="shared" si="2"/>
        <v>4</v>
      </c>
      <c r="H401" s="5" t="str">
        <f t="shared" si="3"/>
        <v>ON TIME</v>
      </c>
      <c r="I401" s="5">
        <f>Raw_Data!F401</f>
        <v>605</v>
      </c>
      <c r="J401" s="5">
        <f t="shared" si="4"/>
        <v>0</v>
      </c>
    </row>
    <row r="402">
      <c r="A402" s="5" t="str">
        <f>Raw_Data!A402</f>
        <v>TRK100400</v>
      </c>
      <c r="B402" s="5" t="str">
        <f>TRIM(Raw_Data!B402)</f>
        <v>Delhivery</v>
      </c>
      <c r="C402" s="5" t="str">
        <f>TRIM(Raw_Data!C402)</f>
        <v>Metro</v>
      </c>
      <c r="D402" s="6">
        <f>DATEVALUE(TEXT(Raw_Data!D402, "YYYY-MM-DD"))</f>
        <v>46082</v>
      </c>
      <c r="E402" s="6">
        <f>IF(ISBLANK(Raw_Data!E402), "", DATEVALUE(TEXT(Raw_Data!E402, "YYYY-MM-DD")))</f>
        <v>46084</v>
      </c>
      <c r="F402" s="5">
        <f t="shared" si="1"/>
        <v>2</v>
      </c>
      <c r="G402" s="5">
        <f t="shared" si="2"/>
        <v>2</v>
      </c>
      <c r="H402" s="5" t="str">
        <f t="shared" si="3"/>
        <v>ON TIME</v>
      </c>
      <c r="I402" s="5">
        <f>Raw_Data!F402</f>
        <v>9578</v>
      </c>
      <c r="J402" s="5">
        <f t="shared" si="4"/>
        <v>0</v>
      </c>
    </row>
    <row r="403">
      <c r="A403" s="5" t="str">
        <f>Raw_Data!A403</f>
        <v>TRK100401</v>
      </c>
      <c r="B403" s="5" t="str">
        <f>TRIM(Raw_Data!B403)</f>
        <v>Delhivery</v>
      </c>
      <c r="C403" s="5" t="str">
        <f>TRIM(Raw_Data!C403)</f>
        <v>Tier 3</v>
      </c>
      <c r="D403" s="6">
        <f>DATEVALUE(TEXT(Raw_Data!D403, "YYYY-MM-DD"))</f>
        <v>46053</v>
      </c>
      <c r="E403" s="6">
        <f>IF(ISBLANK(Raw_Data!E403), "", DATEVALUE(TEXT(Raw_Data!E403, "YYYY-MM-DD")))</f>
        <v>46061</v>
      </c>
      <c r="F403" s="5">
        <f t="shared" si="1"/>
        <v>6</v>
      </c>
      <c r="G403" s="5">
        <f t="shared" si="2"/>
        <v>5</v>
      </c>
      <c r="H403" s="5" t="str">
        <f t="shared" si="3"/>
        <v>ON TIME</v>
      </c>
      <c r="I403" s="5">
        <f>Raw_Data!F403</f>
        <v>9119</v>
      </c>
      <c r="J403" s="5">
        <f t="shared" si="4"/>
        <v>0</v>
      </c>
    </row>
    <row r="404">
      <c r="A404" s="5" t="str">
        <f>Raw_Data!A404</f>
        <v>TRK100402</v>
      </c>
      <c r="B404" s="5" t="str">
        <f>TRIM(Raw_Data!B404)</f>
        <v>BlueDart</v>
      </c>
      <c r="C404" s="5" t="str">
        <f>TRIM(Raw_Data!C404)</f>
        <v>Tier 3</v>
      </c>
      <c r="D404" s="6">
        <f>DATEVALUE(TEXT(Raw_Data!D404, "YYYY-MM-DD"))</f>
        <v>46035</v>
      </c>
      <c r="E404" s="6">
        <f>IF(ISBLANK(Raw_Data!E404), "", DATEVALUE(TEXT(Raw_Data!E404, "YYYY-MM-DD")))</f>
        <v>46041</v>
      </c>
      <c r="F404" s="5">
        <f t="shared" si="1"/>
        <v>6</v>
      </c>
      <c r="G404" s="5">
        <f t="shared" si="2"/>
        <v>5</v>
      </c>
      <c r="H404" s="5" t="str">
        <f t="shared" si="3"/>
        <v>ON TIME</v>
      </c>
      <c r="I404" s="5">
        <f>Raw_Data!F404</f>
        <v>2395</v>
      </c>
      <c r="J404" s="5">
        <f t="shared" si="4"/>
        <v>0</v>
      </c>
    </row>
    <row r="405">
      <c r="A405" s="5" t="str">
        <f>Raw_Data!A405</f>
        <v>TRK100403</v>
      </c>
      <c r="B405" s="5" t="str">
        <f>TRIM(Raw_Data!B405)</f>
        <v>BlueDart</v>
      </c>
      <c r="C405" s="5" t="str">
        <f>TRIM(Raw_Data!C405)</f>
        <v>Tier 2</v>
      </c>
      <c r="D405" s="6">
        <f>DATEVALUE(TEXT(Raw_Data!D405, "YYYY-MM-DD"))</f>
        <v>46041</v>
      </c>
      <c r="E405" s="6">
        <f>IF(ISBLANK(Raw_Data!E405), "", DATEVALUE(TEXT(Raw_Data!E405, "YYYY-MM-DD")))</f>
        <v>46047</v>
      </c>
      <c r="F405" s="5">
        <f t="shared" si="1"/>
        <v>4</v>
      </c>
      <c r="G405" s="5">
        <f t="shared" si="2"/>
        <v>5</v>
      </c>
      <c r="H405" s="5" t="str">
        <f t="shared" si="3"/>
        <v>SLA BREACH</v>
      </c>
      <c r="I405" s="5">
        <f>Raw_Data!F405</f>
        <v>6590</v>
      </c>
      <c r="J405" s="5">
        <f t="shared" si="4"/>
        <v>329.5</v>
      </c>
    </row>
    <row r="406">
      <c r="A406" s="5" t="str">
        <f>Raw_Data!A406</f>
        <v>TRK100404</v>
      </c>
      <c r="B406" s="5" t="str">
        <f>TRIM(Raw_Data!B406)</f>
        <v>Delhivery</v>
      </c>
      <c r="C406" s="5" t="str">
        <f>TRIM(Raw_Data!C406)</f>
        <v>Tier 3</v>
      </c>
      <c r="D406" s="6">
        <f>DATEVALUE(TEXT(Raw_Data!D406, "YYYY-MM-DD"))</f>
        <v>46041</v>
      </c>
      <c r="E406" s="6">
        <f>IF(ISBLANK(Raw_Data!E406), "", DATEVALUE(TEXT(Raw_Data!E406, "YYYY-MM-DD")))</f>
        <v>46047</v>
      </c>
      <c r="F406" s="5">
        <f t="shared" si="1"/>
        <v>6</v>
      </c>
      <c r="G406" s="5">
        <f t="shared" si="2"/>
        <v>5</v>
      </c>
      <c r="H406" s="5" t="str">
        <f t="shared" si="3"/>
        <v>ON TIME</v>
      </c>
      <c r="I406" s="5">
        <f>Raw_Data!F406</f>
        <v>9008</v>
      </c>
      <c r="J406" s="5">
        <f t="shared" si="4"/>
        <v>0</v>
      </c>
    </row>
    <row r="407">
      <c r="A407" s="5" t="str">
        <f>Raw_Data!A407</f>
        <v>TRK100405</v>
      </c>
      <c r="B407" s="5" t="str">
        <f>TRIM(Raw_Data!B407)</f>
        <v>BlueDart</v>
      </c>
      <c r="C407" s="5" t="str">
        <f>TRIM(Raw_Data!C407)</f>
        <v>Metro</v>
      </c>
      <c r="D407" s="6">
        <f>DATEVALUE(TEXT(Raw_Data!D407, "YYYY-MM-DD"))</f>
        <v>46026</v>
      </c>
      <c r="E407" s="6">
        <f>IF(ISBLANK(Raw_Data!E407), "", DATEVALUE(TEXT(Raw_Data!E407, "YYYY-MM-DD")))</f>
        <v>46030</v>
      </c>
      <c r="F407" s="5">
        <f t="shared" si="1"/>
        <v>2</v>
      </c>
      <c r="G407" s="5">
        <f t="shared" si="2"/>
        <v>4</v>
      </c>
      <c r="H407" s="5" t="str">
        <f t="shared" si="3"/>
        <v>SLA BREACH</v>
      </c>
      <c r="I407" s="5">
        <f>Raw_Data!F407</f>
        <v>6582</v>
      </c>
      <c r="J407" s="5">
        <f t="shared" si="4"/>
        <v>329.1</v>
      </c>
    </row>
    <row r="408">
      <c r="A408" s="5" t="str">
        <f>Raw_Data!A408</f>
        <v>TRK100406</v>
      </c>
      <c r="B408" s="5" t="str">
        <f>TRIM(Raw_Data!B408)</f>
        <v>EcomExpress</v>
      </c>
      <c r="C408" s="5" t="str">
        <f>TRIM(Raw_Data!C408)</f>
        <v>Tier 3</v>
      </c>
      <c r="D408" s="6">
        <f>DATEVALUE(TEXT(Raw_Data!D408, "YYYY-MM-DD"))</f>
        <v>46028</v>
      </c>
      <c r="E408" s="6">
        <f>IF(ISBLANK(Raw_Data!E408), "", DATEVALUE(TEXT(Raw_Data!E408, "YYYY-MM-DD")))</f>
        <v>46034</v>
      </c>
      <c r="F408" s="5">
        <f t="shared" si="1"/>
        <v>6</v>
      </c>
      <c r="G408" s="5">
        <f t="shared" si="2"/>
        <v>5</v>
      </c>
      <c r="H408" s="5" t="str">
        <f t="shared" si="3"/>
        <v>ON TIME</v>
      </c>
      <c r="I408" s="5">
        <f>Raw_Data!F408</f>
        <v>1134</v>
      </c>
      <c r="J408" s="5">
        <f t="shared" si="4"/>
        <v>0</v>
      </c>
    </row>
    <row r="409">
      <c r="A409" s="5" t="str">
        <f>Raw_Data!A409</f>
        <v>TRK100407</v>
      </c>
      <c r="B409" s="5" t="str">
        <f>TRIM(Raw_Data!B409)</f>
        <v>EcomExpress</v>
      </c>
      <c r="C409" s="5" t="str">
        <f>TRIM(Raw_Data!C409)</f>
        <v>Metro</v>
      </c>
      <c r="D409" s="6">
        <f>DATEVALUE(TEXT(Raw_Data!D409, "YYYY-MM-DD"))</f>
        <v>46059</v>
      </c>
      <c r="E409" s="6">
        <f>IF(ISBLANK(Raw_Data!E409), "", DATEVALUE(TEXT(Raw_Data!E409, "YYYY-MM-DD")))</f>
        <v>46061</v>
      </c>
      <c r="F409" s="5">
        <f t="shared" si="1"/>
        <v>2</v>
      </c>
      <c r="G409" s="5">
        <f t="shared" si="2"/>
        <v>1</v>
      </c>
      <c r="H409" s="5" t="str">
        <f t="shared" si="3"/>
        <v>ON TIME</v>
      </c>
      <c r="I409" s="5">
        <f>Raw_Data!F409</f>
        <v>2425</v>
      </c>
      <c r="J409" s="5">
        <f t="shared" si="4"/>
        <v>0</v>
      </c>
    </row>
    <row r="410">
      <c r="A410" s="5" t="str">
        <f>Raw_Data!A410</f>
        <v>TRK100408</v>
      </c>
      <c r="B410" s="5" t="str">
        <f>TRIM(Raw_Data!B410)</f>
        <v>BlueDart</v>
      </c>
      <c r="C410" s="5" t="str">
        <f>TRIM(Raw_Data!C410)</f>
        <v>Tier 3</v>
      </c>
      <c r="D410" s="6">
        <f>DATEVALUE(TEXT(Raw_Data!D410, "YYYY-MM-DD"))</f>
        <v>46057</v>
      </c>
      <c r="E410" s="6">
        <f>IF(ISBLANK(Raw_Data!E410), "", DATEVALUE(TEXT(Raw_Data!E410, "YYYY-MM-DD")))</f>
        <v>46065</v>
      </c>
      <c r="F410" s="5">
        <f t="shared" si="1"/>
        <v>6</v>
      </c>
      <c r="G410" s="5">
        <f t="shared" si="2"/>
        <v>7</v>
      </c>
      <c r="H410" s="5" t="str">
        <f t="shared" si="3"/>
        <v>SLA BREACH</v>
      </c>
      <c r="I410" s="5">
        <f>Raw_Data!F410</f>
        <v>2556</v>
      </c>
      <c r="J410" s="5">
        <f t="shared" si="4"/>
        <v>127.8</v>
      </c>
    </row>
    <row r="411">
      <c r="A411" s="5" t="str">
        <f>Raw_Data!A411</f>
        <v>TRK100409</v>
      </c>
      <c r="B411" s="5" t="str">
        <f>TRIM(Raw_Data!B411)</f>
        <v>EcomExpress</v>
      </c>
      <c r="C411" s="5" t="str">
        <f>TRIM(Raw_Data!C411)</f>
        <v>Tier 2</v>
      </c>
      <c r="D411" s="6">
        <f>DATEVALUE(TEXT(Raw_Data!D411, "YYYY-MM-DD"))</f>
        <v>46069</v>
      </c>
      <c r="E411" s="6">
        <f>IF(ISBLANK(Raw_Data!E411), "", DATEVALUE(TEXT(Raw_Data!E411, "YYYY-MM-DD")))</f>
        <v>46073</v>
      </c>
      <c r="F411" s="5">
        <f t="shared" si="1"/>
        <v>4</v>
      </c>
      <c r="G411" s="5">
        <f t="shared" si="2"/>
        <v>5</v>
      </c>
      <c r="H411" s="5" t="str">
        <f t="shared" si="3"/>
        <v>SLA BREACH</v>
      </c>
      <c r="I411" s="5">
        <f>Raw_Data!F411</f>
        <v>7417</v>
      </c>
      <c r="J411" s="5">
        <f t="shared" si="4"/>
        <v>370.85</v>
      </c>
    </row>
    <row r="412">
      <c r="A412" s="5" t="str">
        <f>Raw_Data!A412</f>
        <v>TRK100410</v>
      </c>
      <c r="B412" s="5" t="str">
        <f>TRIM(Raw_Data!B412)</f>
        <v>EcomExpress</v>
      </c>
      <c r="C412" s="5" t="str">
        <f>TRIM(Raw_Data!C412)</f>
        <v>Tier 3</v>
      </c>
      <c r="D412" s="6">
        <f>DATEVALUE(TEXT(Raw_Data!D412, "YYYY-MM-DD"))</f>
        <v>46081</v>
      </c>
      <c r="E412" s="6">
        <f>IF(ISBLANK(Raw_Data!E412), "", DATEVALUE(TEXT(Raw_Data!E412, "YYYY-MM-DD")))</f>
        <v>46087</v>
      </c>
      <c r="F412" s="5">
        <f t="shared" si="1"/>
        <v>6</v>
      </c>
      <c r="G412" s="5">
        <f t="shared" si="2"/>
        <v>5</v>
      </c>
      <c r="H412" s="5" t="str">
        <f t="shared" si="3"/>
        <v>ON TIME</v>
      </c>
      <c r="I412" s="5">
        <f>Raw_Data!F412</f>
        <v>3644</v>
      </c>
      <c r="J412" s="5">
        <f t="shared" si="4"/>
        <v>0</v>
      </c>
    </row>
    <row r="413">
      <c r="A413" s="5" t="str">
        <f>Raw_Data!A413</f>
        <v>TRK100411</v>
      </c>
      <c r="B413" s="5" t="str">
        <f>TRIM(Raw_Data!B413)</f>
        <v>EcomExpress</v>
      </c>
      <c r="C413" s="5" t="str">
        <f>TRIM(Raw_Data!C413)</f>
        <v>Tier 2</v>
      </c>
      <c r="D413" s="6">
        <f>DATEVALUE(TEXT(Raw_Data!D413, "YYYY-MM-DD"))</f>
        <v>46049</v>
      </c>
      <c r="E413" s="6">
        <f>IF(ISBLANK(Raw_Data!E413), "", DATEVALUE(TEXT(Raw_Data!E413, "YYYY-MM-DD")))</f>
        <v>46056</v>
      </c>
      <c r="F413" s="5">
        <f t="shared" si="1"/>
        <v>4</v>
      </c>
      <c r="G413" s="5">
        <f t="shared" si="2"/>
        <v>6</v>
      </c>
      <c r="H413" s="5" t="str">
        <f t="shared" si="3"/>
        <v>SLA BREACH</v>
      </c>
      <c r="I413" s="5">
        <f>Raw_Data!F413</f>
        <v>10962</v>
      </c>
      <c r="J413" s="5">
        <f t="shared" si="4"/>
        <v>548.1</v>
      </c>
    </row>
    <row r="414">
      <c r="A414" s="5" t="str">
        <f>Raw_Data!A414</f>
        <v>TRK100412</v>
      </c>
      <c r="B414" s="5" t="str">
        <f>TRIM(Raw_Data!B414)</f>
        <v>Delhivery</v>
      </c>
      <c r="C414" s="5" t="str">
        <f>TRIM(Raw_Data!C414)</f>
        <v>Tier 3</v>
      </c>
      <c r="D414" s="6">
        <f>DATEVALUE(TEXT(Raw_Data!D414, "YYYY-MM-DD"))</f>
        <v>46082</v>
      </c>
      <c r="E414" s="6">
        <f>IF(ISBLANK(Raw_Data!E414), "", DATEVALUE(TEXT(Raw_Data!E414, "YYYY-MM-DD")))</f>
        <v>46091</v>
      </c>
      <c r="F414" s="5">
        <f t="shared" si="1"/>
        <v>6</v>
      </c>
      <c r="G414" s="5">
        <f t="shared" si="2"/>
        <v>7</v>
      </c>
      <c r="H414" s="5" t="str">
        <f t="shared" si="3"/>
        <v>SLA BREACH</v>
      </c>
      <c r="I414" s="5">
        <f>Raw_Data!F414</f>
        <v>10131</v>
      </c>
      <c r="J414" s="5">
        <f t="shared" si="4"/>
        <v>506.55</v>
      </c>
    </row>
    <row r="415">
      <c r="A415" s="5" t="str">
        <f>Raw_Data!A415</f>
        <v>TRK100413</v>
      </c>
      <c r="B415" s="5" t="str">
        <f>TRIM(Raw_Data!B415)</f>
        <v>EcomExpress</v>
      </c>
      <c r="C415" s="5" t="str">
        <f>TRIM(Raw_Data!C415)</f>
        <v>Tier 2</v>
      </c>
      <c r="D415" s="6">
        <f>DATEVALUE(TEXT(Raw_Data!D415, "YYYY-MM-DD"))</f>
        <v>46076</v>
      </c>
      <c r="E415" s="6">
        <f>IF(ISBLANK(Raw_Data!E415), "", DATEVALUE(TEXT(Raw_Data!E415, "YYYY-MM-DD")))</f>
        <v>46080</v>
      </c>
      <c r="F415" s="5">
        <f t="shared" si="1"/>
        <v>4</v>
      </c>
      <c r="G415" s="5">
        <f t="shared" si="2"/>
        <v>5</v>
      </c>
      <c r="H415" s="5" t="str">
        <f t="shared" si="3"/>
        <v>SLA BREACH</v>
      </c>
      <c r="I415" s="5">
        <f>Raw_Data!F415</f>
        <v>1052</v>
      </c>
      <c r="J415" s="5">
        <f t="shared" si="4"/>
        <v>52.6</v>
      </c>
    </row>
    <row r="416">
      <c r="A416" s="5" t="str">
        <f>Raw_Data!A416</f>
        <v>TRK100414</v>
      </c>
      <c r="B416" s="5" t="str">
        <f>TRIM(Raw_Data!B416)</f>
        <v>EcomExpress</v>
      </c>
      <c r="C416" s="5" t="str">
        <f>TRIM(Raw_Data!C416)</f>
        <v>Metro</v>
      </c>
      <c r="D416" s="6">
        <f>DATEVALUE(TEXT(Raw_Data!D416, "YYYY-MM-DD"))</f>
        <v>46073</v>
      </c>
      <c r="E416" s="6">
        <f>IF(ISBLANK(Raw_Data!E416), "", DATEVALUE(TEXT(Raw_Data!E416, "YYYY-MM-DD")))</f>
        <v>46075</v>
      </c>
      <c r="F416" s="5">
        <f t="shared" si="1"/>
        <v>2</v>
      </c>
      <c r="G416" s="5">
        <f t="shared" si="2"/>
        <v>1</v>
      </c>
      <c r="H416" s="5" t="str">
        <f t="shared" si="3"/>
        <v>ON TIME</v>
      </c>
      <c r="I416" s="5">
        <f>Raw_Data!F416</f>
        <v>9407</v>
      </c>
      <c r="J416" s="5">
        <f t="shared" si="4"/>
        <v>0</v>
      </c>
    </row>
    <row r="417">
      <c r="A417" s="5" t="str">
        <f>Raw_Data!A417</f>
        <v>TRK100415</v>
      </c>
      <c r="B417" s="5" t="str">
        <f>TRIM(Raw_Data!B417)</f>
        <v>BlueDart</v>
      </c>
      <c r="C417" s="5" t="str">
        <f>TRIM(Raw_Data!C417)</f>
        <v>Metro</v>
      </c>
      <c r="D417" s="6">
        <f>DATEVALUE(TEXT(Raw_Data!D417, "YYYY-MM-DD"))</f>
        <v>46034</v>
      </c>
      <c r="E417" s="6">
        <f>IF(ISBLANK(Raw_Data!E417), "", DATEVALUE(TEXT(Raw_Data!E417, "YYYY-MM-DD")))</f>
        <v>46036</v>
      </c>
      <c r="F417" s="5">
        <f t="shared" si="1"/>
        <v>2</v>
      </c>
      <c r="G417" s="5">
        <f t="shared" si="2"/>
        <v>3</v>
      </c>
      <c r="H417" s="5" t="str">
        <f t="shared" si="3"/>
        <v>SLA BREACH</v>
      </c>
      <c r="I417" s="5">
        <f>Raw_Data!F417</f>
        <v>5883</v>
      </c>
      <c r="J417" s="5">
        <f t="shared" si="4"/>
        <v>294.15</v>
      </c>
    </row>
    <row r="418">
      <c r="A418" s="5" t="str">
        <f>Raw_Data!A418</f>
        <v>TRK100416</v>
      </c>
      <c r="B418" s="5" t="str">
        <f>TRIM(Raw_Data!B418)</f>
        <v>EcomExpress</v>
      </c>
      <c r="C418" s="5" t="str">
        <f>TRIM(Raw_Data!C418)</f>
        <v>Metro</v>
      </c>
      <c r="D418" s="6">
        <f>DATEVALUE(TEXT(Raw_Data!D418, "YYYY-MM-DD"))</f>
        <v>46078</v>
      </c>
      <c r="E418" s="6">
        <f>IF(ISBLANK(Raw_Data!E418), "", DATEVALUE(TEXT(Raw_Data!E418, "YYYY-MM-DD")))</f>
        <v>46080</v>
      </c>
      <c r="F418" s="5">
        <f t="shared" si="1"/>
        <v>2</v>
      </c>
      <c r="G418" s="5">
        <f t="shared" si="2"/>
        <v>3</v>
      </c>
      <c r="H418" s="5" t="str">
        <f t="shared" si="3"/>
        <v>SLA BREACH</v>
      </c>
      <c r="I418" s="5">
        <f>Raw_Data!F418</f>
        <v>4411</v>
      </c>
      <c r="J418" s="5">
        <f t="shared" si="4"/>
        <v>220.55</v>
      </c>
    </row>
    <row r="419">
      <c r="A419" s="5" t="str">
        <f>Raw_Data!A419</f>
        <v>TRK100417</v>
      </c>
      <c r="B419" s="5" t="str">
        <f>TRIM(Raw_Data!B419)</f>
        <v>Delhivery</v>
      </c>
      <c r="C419" s="5" t="str">
        <f>TRIM(Raw_Data!C419)</f>
        <v>Metro</v>
      </c>
      <c r="D419" s="6">
        <f>DATEVALUE(TEXT(Raw_Data!D419, "YYYY-MM-DD"))</f>
        <v>46079</v>
      </c>
      <c r="E419" s="6">
        <f>IF(ISBLANK(Raw_Data!E419), "", DATEVALUE(TEXT(Raw_Data!E419, "YYYY-MM-DD")))</f>
        <v>46081</v>
      </c>
      <c r="F419" s="5">
        <f t="shared" si="1"/>
        <v>2</v>
      </c>
      <c r="G419" s="5">
        <f t="shared" si="2"/>
        <v>2</v>
      </c>
      <c r="H419" s="5" t="str">
        <f t="shared" si="3"/>
        <v>ON TIME</v>
      </c>
      <c r="I419" s="5">
        <f>Raw_Data!F419</f>
        <v>10405</v>
      </c>
      <c r="J419" s="5">
        <f t="shared" si="4"/>
        <v>0</v>
      </c>
    </row>
    <row r="420">
      <c r="A420" s="5" t="str">
        <f>Raw_Data!A420</f>
        <v>TRK100418</v>
      </c>
      <c r="B420" s="5" t="str">
        <f>TRIM(Raw_Data!B420)</f>
        <v>Delhivery</v>
      </c>
      <c r="C420" s="5" t="str">
        <f>TRIM(Raw_Data!C420)</f>
        <v>Tier 2</v>
      </c>
      <c r="D420" s="6">
        <f>DATEVALUE(TEXT(Raw_Data!D420, "YYYY-MM-DD"))</f>
        <v>46023</v>
      </c>
      <c r="E420" s="6">
        <f>IF(ISBLANK(Raw_Data!E420), "", DATEVALUE(TEXT(Raw_Data!E420, "YYYY-MM-DD")))</f>
        <v>46027</v>
      </c>
      <c r="F420" s="5">
        <f t="shared" si="1"/>
        <v>4</v>
      </c>
      <c r="G420" s="5">
        <f t="shared" si="2"/>
        <v>3</v>
      </c>
      <c r="H420" s="5" t="str">
        <f t="shared" si="3"/>
        <v>ON TIME</v>
      </c>
      <c r="I420" s="5">
        <f>Raw_Data!F420</f>
        <v>3889</v>
      </c>
      <c r="J420" s="5">
        <f t="shared" si="4"/>
        <v>0</v>
      </c>
    </row>
    <row r="421">
      <c r="A421" s="5" t="str">
        <f>Raw_Data!A421</f>
        <v>TRK100419</v>
      </c>
      <c r="B421" s="5" t="str">
        <f>TRIM(Raw_Data!B421)</f>
        <v>BlueDart</v>
      </c>
      <c r="C421" s="5" t="str">
        <f>TRIM(Raw_Data!C421)</f>
        <v>Tier 2</v>
      </c>
      <c r="D421" s="6">
        <f>DATEVALUE(TEXT(Raw_Data!D421, "YYYY-MM-DD"))</f>
        <v>46059</v>
      </c>
      <c r="E421" s="6" t="str">
        <f>IF(ISBLANK(Raw_Data!E421), "", DATEVALUE(TEXT(Raw_Data!E421, "YYYY-MM-DD")))</f>
        <v/>
      </c>
      <c r="F421" s="5">
        <f t="shared" si="1"/>
        <v>4</v>
      </c>
      <c r="G421" s="5" t="str">
        <f t="shared" si="2"/>
        <v>In-Transit</v>
      </c>
      <c r="H421" s="5" t="str">
        <f t="shared" si="3"/>
        <v>Pending</v>
      </c>
      <c r="I421" s="5">
        <f>Raw_Data!F421</f>
        <v>9799</v>
      </c>
      <c r="J421" s="5">
        <f t="shared" si="4"/>
        <v>0</v>
      </c>
    </row>
    <row r="422">
      <c r="A422" s="5" t="str">
        <f>Raw_Data!A422</f>
        <v>TRK100420</v>
      </c>
      <c r="B422" s="5" t="str">
        <f>TRIM(Raw_Data!B422)</f>
        <v>Delhivery</v>
      </c>
      <c r="C422" s="5" t="str">
        <f>TRIM(Raw_Data!C422)</f>
        <v>Metro</v>
      </c>
      <c r="D422" s="6">
        <f>DATEVALUE(TEXT(Raw_Data!D422, "YYYY-MM-DD"))</f>
        <v>46029</v>
      </c>
      <c r="E422" s="6">
        <f>IF(ISBLANK(Raw_Data!E422), "", DATEVALUE(TEXT(Raw_Data!E422, "YYYY-MM-DD")))</f>
        <v>46032</v>
      </c>
      <c r="F422" s="5">
        <f t="shared" si="1"/>
        <v>2</v>
      </c>
      <c r="G422" s="5">
        <f t="shared" si="2"/>
        <v>3</v>
      </c>
      <c r="H422" s="5" t="str">
        <f t="shared" si="3"/>
        <v>SLA BREACH</v>
      </c>
      <c r="I422" s="5">
        <f>Raw_Data!F422</f>
        <v>8942</v>
      </c>
      <c r="J422" s="5">
        <f t="shared" si="4"/>
        <v>447.1</v>
      </c>
    </row>
    <row r="423">
      <c r="A423" s="5" t="str">
        <f>Raw_Data!A423</f>
        <v>TRK100421</v>
      </c>
      <c r="B423" s="5" t="str">
        <f>TRIM(Raw_Data!B423)</f>
        <v>Delhivery</v>
      </c>
      <c r="C423" s="5" t="str">
        <f>TRIM(Raw_Data!C423)</f>
        <v>Metro</v>
      </c>
      <c r="D423" s="6">
        <f>DATEVALUE(TEXT(Raw_Data!D423, "YYYY-MM-DD"))</f>
        <v>46041</v>
      </c>
      <c r="E423" s="6">
        <f>IF(ISBLANK(Raw_Data!E423), "", DATEVALUE(TEXT(Raw_Data!E423, "YYYY-MM-DD")))</f>
        <v>46044</v>
      </c>
      <c r="F423" s="5">
        <f t="shared" si="1"/>
        <v>2</v>
      </c>
      <c r="G423" s="5">
        <f t="shared" si="2"/>
        <v>4</v>
      </c>
      <c r="H423" s="5" t="str">
        <f t="shared" si="3"/>
        <v>SLA BREACH</v>
      </c>
      <c r="I423" s="5">
        <f>Raw_Data!F423</f>
        <v>2930</v>
      </c>
      <c r="J423" s="5">
        <f t="shared" si="4"/>
        <v>146.5</v>
      </c>
    </row>
    <row r="424">
      <c r="A424" s="5" t="str">
        <f>Raw_Data!A424</f>
        <v>TRK100422</v>
      </c>
      <c r="B424" s="5" t="str">
        <f>TRIM(Raw_Data!B424)</f>
        <v>EcomExpress</v>
      </c>
      <c r="C424" s="5" t="str">
        <f>TRIM(Raw_Data!C424)</f>
        <v>Metro</v>
      </c>
      <c r="D424" s="6">
        <f>DATEVALUE(TEXT(Raw_Data!D424, "YYYY-MM-DD"))</f>
        <v>46064</v>
      </c>
      <c r="E424" s="6">
        <f>IF(ISBLANK(Raw_Data!E424), "", DATEVALUE(TEXT(Raw_Data!E424, "YYYY-MM-DD")))</f>
        <v>46066</v>
      </c>
      <c r="F424" s="5">
        <f t="shared" si="1"/>
        <v>2</v>
      </c>
      <c r="G424" s="5">
        <f t="shared" si="2"/>
        <v>3</v>
      </c>
      <c r="H424" s="5" t="str">
        <f t="shared" si="3"/>
        <v>SLA BREACH</v>
      </c>
      <c r="I424" s="5">
        <f>Raw_Data!F424</f>
        <v>10746</v>
      </c>
      <c r="J424" s="5">
        <f t="shared" si="4"/>
        <v>537.3</v>
      </c>
    </row>
    <row r="425">
      <c r="A425" s="5" t="str">
        <f>Raw_Data!A425</f>
        <v>TRK100423</v>
      </c>
      <c r="B425" s="5" t="str">
        <f>TRIM(Raw_Data!B425)</f>
        <v>EcomExpress</v>
      </c>
      <c r="C425" s="5" t="str">
        <f>TRIM(Raw_Data!C425)</f>
        <v>Tier 3</v>
      </c>
      <c r="D425" s="6">
        <f>DATEVALUE(TEXT(Raw_Data!D425, "YYYY-MM-DD"))</f>
        <v>46056</v>
      </c>
      <c r="E425" s="6">
        <f>IF(ISBLANK(Raw_Data!E425), "", DATEVALUE(TEXT(Raw_Data!E425, "YYYY-MM-DD")))</f>
        <v>46062</v>
      </c>
      <c r="F425" s="5">
        <f t="shared" si="1"/>
        <v>6</v>
      </c>
      <c r="G425" s="5">
        <f t="shared" si="2"/>
        <v>5</v>
      </c>
      <c r="H425" s="5" t="str">
        <f t="shared" si="3"/>
        <v>ON TIME</v>
      </c>
      <c r="I425" s="5">
        <f>Raw_Data!F425</f>
        <v>958</v>
      </c>
      <c r="J425" s="5">
        <f t="shared" si="4"/>
        <v>0</v>
      </c>
    </row>
    <row r="426">
      <c r="A426" s="5" t="str">
        <f>Raw_Data!A426</f>
        <v>TRK100424</v>
      </c>
      <c r="B426" s="5" t="str">
        <f>TRIM(Raw_Data!B426)</f>
        <v>Delhivery</v>
      </c>
      <c r="C426" s="5" t="str">
        <f>TRIM(Raw_Data!C426)</f>
        <v>Metro</v>
      </c>
      <c r="D426" s="6">
        <f>DATEVALUE(TEXT(Raw_Data!D426, "YYYY-MM-DD"))</f>
        <v>46079</v>
      </c>
      <c r="E426" s="6">
        <f>IF(ISBLANK(Raw_Data!E426), "", DATEVALUE(TEXT(Raw_Data!E426, "YYYY-MM-DD")))</f>
        <v>46081</v>
      </c>
      <c r="F426" s="5">
        <f t="shared" si="1"/>
        <v>2</v>
      </c>
      <c r="G426" s="5">
        <f t="shared" si="2"/>
        <v>2</v>
      </c>
      <c r="H426" s="5" t="str">
        <f t="shared" si="3"/>
        <v>ON TIME</v>
      </c>
      <c r="I426" s="5">
        <f>Raw_Data!F426</f>
        <v>707</v>
      </c>
      <c r="J426" s="5">
        <f t="shared" si="4"/>
        <v>0</v>
      </c>
    </row>
    <row r="427">
      <c r="A427" s="5" t="str">
        <f>Raw_Data!A427</f>
        <v>TRK100425</v>
      </c>
      <c r="B427" s="5" t="str">
        <f>TRIM(Raw_Data!B427)</f>
        <v>BlueDart</v>
      </c>
      <c r="C427" s="5" t="str">
        <f>TRIM(Raw_Data!C427)</f>
        <v>Tier 2</v>
      </c>
      <c r="D427" s="6">
        <f>DATEVALUE(TEXT(Raw_Data!D427, "YYYY-MM-DD"))</f>
        <v>46077</v>
      </c>
      <c r="E427" s="6">
        <f>IF(ISBLANK(Raw_Data!E427), "", DATEVALUE(TEXT(Raw_Data!E427, "YYYY-MM-DD")))</f>
        <v>46081</v>
      </c>
      <c r="F427" s="5">
        <f t="shared" si="1"/>
        <v>4</v>
      </c>
      <c r="G427" s="5">
        <f t="shared" si="2"/>
        <v>4</v>
      </c>
      <c r="H427" s="5" t="str">
        <f t="shared" si="3"/>
        <v>ON TIME</v>
      </c>
      <c r="I427" s="5">
        <f>Raw_Data!F427</f>
        <v>1399</v>
      </c>
      <c r="J427" s="5">
        <f t="shared" si="4"/>
        <v>0</v>
      </c>
    </row>
    <row r="428">
      <c r="A428" s="5" t="str">
        <f>Raw_Data!A428</f>
        <v>TRK100426</v>
      </c>
      <c r="B428" s="5" t="str">
        <f>TRIM(Raw_Data!B428)</f>
        <v>BlueDart</v>
      </c>
      <c r="C428" s="5" t="str">
        <f>TRIM(Raw_Data!C428)</f>
        <v>Tier 2</v>
      </c>
      <c r="D428" s="6">
        <f>DATEVALUE(TEXT(Raw_Data!D428, "YYYY-MM-DD"))</f>
        <v>46052</v>
      </c>
      <c r="E428" s="6">
        <f>IF(ISBLANK(Raw_Data!E428), "", DATEVALUE(TEXT(Raw_Data!E428, "YYYY-MM-DD")))</f>
        <v>46056</v>
      </c>
      <c r="F428" s="5">
        <f t="shared" si="1"/>
        <v>4</v>
      </c>
      <c r="G428" s="5">
        <f t="shared" si="2"/>
        <v>3</v>
      </c>
      <c r="H428" s="5" t="str">
        <f t="shared" si="3"/>
        <v>ON TIME</v>
      </c>
      <c r="I428" s="5">
        <f>Raw_Data!F428</f>
        <v>521</v>
      </c>
      <c r="J428" s="5">
        <f t="shared" si="4"/>
        <v>0</v>
      </c>
    </row>
    <row r="429">
      <c r="A429" s="5" t="str">
        <f>Raw_Data!A429</f>
        <v>TRK100427</v>
      </c>
      <c r="B429" s="5" t="str">
        <f>TRIM(Raw_Data!B429)</f>
        <v>EcomExpress</v>
      </c>
      <c r="C429" s="5" t="str">
        <f>TRIM(Raw_Data!C429)</f>
        <v>Tier 2</v>
      </c>
      <c r="D429" s="6">
        <f>DATEVALUE(TEXT(Raw_Data!D429, "YYYY-MM-DD"))</f>
        <v>46035</v>
      </c>
      <c r="E429" s="6">
        <f>IF(ISBLANK(Raw_Data!E429), "", DATEVALUE(TEXT(Raw_Data!E429, "YYYY-MM-DD")))</f>
        <v>46041</v>
      </c>
      <c r="F429" s="5">
        <f t="shared" si="1"/>
        <v>4</v>
      </c>
      <c r="G429" s="5">
        <f t="shared" si="2"/>
        <v>5</v>
      </c>
      <c r="H429" s="5" t="str">
        <f t="shared" si="3"/>
        <v>SLA BREACH</v>
      </c>
      <c r="I429" s="5">
        <f>Raw_Data!F429</f>
        <v>9101</v>
      </c>
      <c r="J429" s="5">
        <f t="shared" si="4"/>
        <v>455.05</v>
      </c>
    </row>
    <row r="430">
      <c r="A430" s="5" t="str">
        <f>Raw_Data!A430</f>
        <v>TRK100428</v>
      </c>
      <c r="B430" s="5" t="str">
        <f>TRIM(Raw_Data!B430)</f>
        <v>Delhivery</v>
      </c>
      <c r="C430" s="5" t="str">
        <f>TRIM(Raw_Data!C430)</f>
        <v>Tier 3</v>
      </c>
      <c r="D430" s="6">
        <f>DATEVALUE(TEXT(Raw_Data!D430, "YYYY-MM-DD"))</f>
        <v>46030</v>
      </c>
      <c r="E430" s="6">
        <f>IF(ISBLANK(Raw_Data!E430), "", DATEVALUE(TEXT(Raw_Data!E430, "YYYY-MM-DD")))</f>
        <v>46036</v>
      </c>
      <c r="F430" s="5">
        <f t="shared" si="1"/>
        <v>6</v>
      </c>
      <c r="G430" s="5">
        <f t="shared" si="2"/>
        <v>5</v>
      </c>
      <c r="H430" s="5" t="str">
        <f t="shared" si="3"/>
        <v>ON TIME</v>
      </c>
      <c r="I430" s="5">
        <f>Raw_Data!F430</f>
        <v>1394</v>
      </c>
      <c r="J430" s="5">
        <f t="shared" si="4"/>
        <v>0</v>
      </c>
    </row>
    <row r="431">
      <c r="A431" s="5" t="str">
        <f>Raw_Data!A431</f>
        <v>TRK100429</v>
      </c>
      <c r="B431" s="5" t="str">
        <f>TRIM(Raw_Data!B431)</f>
        <v>EcomExpress</v>
      </c>
      <c r="C431" s="5" t="str">
        <f>TRIM(Raw_Data!C431)</f>
        <v>Tier 3</v>
      </c>
      <c r="D431" s="6">
        <f>DATEVALUE(TEXT(Raw_Data!D431, "YYYY-MM-DD"))</f>
        <v>46033</v>
      </c>
      <c r="E431" s="6">
        <f>IF(ISBLANK(Raw_Data!E431), "", DATEVALUE(TEXT(Raw_Data!E431, "YYYY-MM-DD")))</f>
        <v>46039</v>
      </c>
      <c r="F431" s="5">
        <f t="shared" si="1"/>
        <v>6</v>
      </c>
      <c r="G431" s="5">
        <f t="shared" si="2"/>
        <v>5</v>
      </c>
      <c r="H431" s="5" t="str">
        <f t="shared" si="3"/>
        <v>ON TIME</v>
      </c>
      <c r="I431" s="5">
        <f>Raw_Data!F431</f>
        <v>1014</v>
      </c>
      <c r="J431" s="5">
        <f t="shared" si="4"/>
        <v>0</v>
      </c>
    </row>
    <row r="432">
      <c r="A432" s="5" t="str">
        <f>Raw_Data!A432</f>
        <v>TRK100430</v>
      </c>
      <c r="B432" s="5" t="str">
        <f>TRIM(Raw_Data!B432)</f>
        <v>BlueDart</v>
      </c>
      <c r="C432" s="5" t="str">
        <f>TRIM(Raw_Data!C432)</f>
        <v>Tier 3</v>
      </c>
      <c r="D432" s="6">
        <f>DATEVALUE(TEXT(Raw_Data!D432, "YYYY-MM-DD"))</f>
        <v>46052</v>
      </c>
      <c r="E432" s="6">
        <f>IF(ISBLANK(Raw_Data!E432), "", DATEVALUE(TEXT(Raw_Data!E432, "YYYY-MM-DD")))</f>
        <v>46058</v>
      </c>
      <c r="F432" s="5">
        <f t="shared" si="1"/>
        <v>6</v>
      </c>
      <c r="G432" s="5">
        <f t="shared" si="2"/>
        <v>5</v>
      </c>
      <c r="H432" s="5" t="str">
        <f t="shared" si="3"/>
        <v>ON TIME</v>
      </c>
      <c r="I432" s="5">
        <f>Raw_Data!F432</f>
        <v>7794</v>
      </c>
      <c r="J432" s="5">
        <f t="shared" si="4"/>
        <v>0</v>
      </c>
    </row>
    <row r="433">
      <c r="A433" s="5" t="str">
        <f>Raw_Data!A433</f>
        <v>TRK100431</v>
      </c>
      <c r="B433" s="5" t="str">
        <f>TRIM(Raw_Data!B433)</f>
        <v>Delhivery</v>
      </c>
      <c r="C433" s="5" t="str">
        <f>TRIM(Raw_Data!C433)</f>
        <v>Tier 3</v>
      </c>
      <c r="D433" s="6">
        <f>DATEVALUE(TEXT(Raw_Data!D433, "YYYY-MM-DD"))</f>
        <v>46039</v>
      </c>
      <c r="E433" s="6">
        <f>IF(ISBLANK(Raw_Data!E433), "", DATEVALUE(TEXT(Raw_Data!E433, "YYYY-MM-DD")))</f>
        <v>46046</v>
      </c>
      <c r="F433" s="5">
        <f t="shared" si="1"/>
        <v>6</v>
      </c>
      <c r="G433" s="5">
        <f t="shared" si="2"/>
        <v>5</v>
      </c>
      <c r="H433" s="5" t="str">
        <f t="shared" si="3"/>
        <v>ON TIME</v>
      </c>
      <c r="I433" s="5">
        <f>Raw_Data!F433</f>
        <v>5404</v>
      </c>
      <c r="J433" s="5">
        <f t="shared" si="4"/>
        <v>0</v>
      </c>
    </row>
    <row r="434">
      <c r="A434" s="5" t="str">
        <f>Raw_Data!A434</f>
        <v>TRK100432</v>
      </c>
      <c r="B434" s="5" t="str">
        <f>TRIM(Raw_Data!B434)</f>
        <v>EcomExpress</v>
      </c>
      <c r="C434" s="5" t="str">
        <f>TRIM(Raw_Data!C434)</f>
        <v>Tier 2</v>
      </c>
      <c r="D434" s="6">
        <f>DATEVALUE(TEXT(Raw_Data!D434, "YYYY-MM-DD"))</f>
        <v>46034</v>
      </c>
      <c r="E434" s="6">
        <f>IF(ISBLANK(Raw_Data!E434), "", DATEVALUE(TEXT(Raw_Data!E434, "YYYY-MM-DD")))</f>
        <v>46038</v>
      </c>
      <c r="F434" s="5">
        <f t="shared" si="1"/>
        <v>4</v>
      </c>
      <c r="G434" s="5">
        <f t="shared" si="2"/>
        <v>5</v>
      </c>
      <c r="H434" s="5" t="str">
        <f t="shared" si="3"/>
        <v>SLA BREACH</v>
      </c>
      <c r="I434" s="5">
        <f>Raw_Data!F434</f>
        <v>8367</v>
      </c>
      <c r="J434" s="5">
        <f t="shared" si="4"/>
        <v>418.35</v>
      </c>
    </row>
    <row r="435">
      <c r="A435" s="5" t="str">
        <f>Raw_Data!A435</f>
        <v>TRK100433</v>
      </c>
      <c r="B435" s="5" t="str">
        <f>TRIM(Raw_Data!B435)</f>
        <v>EcomExpress</v>
      </c>
      <c r="C435" s="5" t="str">
        <f>TRIM(Raw_Data!C435)</f>
        <v>Tier 3</v>
      </c>
      <c r="D435" s="6">
        <f>DATEVALUE(TEXT(Raw_Data!D435, "YYYY-MM-DD"))</f>
        <v>46070</v>
      </c>
      <c r="E435" s="6">
        <f>IF(ISBLANK(Raw_Data!E435), "", DATEVALUE(TEXT(Raw_Data!E435, "YYYY-MM-DD")))</f>
        <v>46076</v>
      </c>
      <c r="F435" s="5">
        <f t="shared" si="1"/>
        <v>6</v>
      </c>
      <c r="G435" s="5">
        <f t="shared" si="2"/>
        <v>5</v>
      </c>
      <c r="H435" s="5" t="str">
        <f t="shared" si="3"/>
        <v>ON TIME</v>
      </c>
      <c r="I435" s="5">
        <f>Raw_Data!F435</f>
        <v>4609</v>
      </c>
      <c r="J435" s="5">
        <f t="shared" si="4"/>
        <v>0</v>
      </c>
    </row>
    <row r="436">
      <c r="A436" s="5" t="str">
        <f>Raw_Data!A436</f>
        <v>TRK100434</v>
      </c>
      <c r="B436" s="5" t="str">
        <f>TRIM(Raw_Data!B436)</f>
        <v>BlueDart</v>
      </c>
      <c r="C436" s="5" t="str">
        <f>TRIM(Raw_Data!C436)</f>
        <v>Tier 3</v>
      </c>
      <c r="D436" s="6">
        <f>DATEVALUE(TEXT(Raw_Data!D436, "YYYY-MM-DD"))</f>
        <v>46073</v>
      </c>
      <c r="E436" s="6">
        <f>IF(ISBLANK(Raw_Data!E436), "", DATEVALUE(TEXT(Raw_Data!E436, "YYYY-MM-DD")))</f>
        <v>46079</v>
      </c>
      <c r="F436" s="5">
        <f t="shared" si="1"/>
        <v>6</v>
      </c>
      <c r="G436" s="5">
        <f t="shared" si="2"/>
        <v>5</v>
      </c>
      <c r="H436" s="5" t="str">
        <f t="shared" si="3"/>
        <v>ON TIME</v>
      </c>
      <c r="I436" s="5">
        <f>Raw_Data!F436</f>
        <v>7679</v>
      </c>
      <c r="J436" s="5">
        <f t="shared" si="4"/>
        <v>0</v>
      </c>
    </row>
    <row r="437">
      <c r="A437" s="5" t="str">
        <f>Raw_Data!A437</f>
        <v>TRK100435</v>
      </c>
      <c r="B437" s="5" t="str">
        <f>TRIM(Raw_Data!B437)</f>
        <v>EcomExpress</v>
      </c>
      <c r="C437" s="5" t="str">
        <f>TRIM(Raw_Data!C437)</f>
        <v>Tier 3</v>
      </c>
      <c r="D437" s="6">
        <f>DATEVALUE(TEXT(Raw_Data!D437, "YYYY-MM-DD"))</f>
        <v>46059</v>
      </c>
      <c r="E437" s="6">
        <f>IF(ISBLANK(Raw_Data!E437), "", DATEVALUE(TEXT(Raw_Data!E437, "YYYY-MM-DD")))</f>
        <v>46066</v>
      </c>
      <c r="F437" s="5">
        <f t="shared" si="1"/>
        <v>6</v>
      </c>
      <c r="G437" s="5">
        <f t="shared" si="2"/>
        <v>6</v>
      </c>
      <c r="H437" s="5" t="str">
        <f t="shared" si="3"/>
        <v>ON TIME</v>
      </c>
      <c r="I437" s="5">
        <f>Raw_Data!F437</f>
        <v>10826</v>
      </c>
      <c r="J437" s="5">
        <f t="shared" si="4"/>
        <v>0</v>
      </c>
    </row>
    <row r="438">
      <c r="A438" s="5" t="str">
        <f>Raw_Data!A438</f>
        <v>TRK100436</v>
      </c>
      <c r="B438" s="5" t="str">
        <f>TRIM(Raw_Data!B438)</f>
        <v>BlueDart</v>
      </c>
      <c r="C438" s="5" t="str">
        <f>TRIM(Raw_Data!C438)</f>
        <v>Metro</v>
      </c>
      <c r="D438" s="6">
        <f>DATEVALUE(TEXT(Raw_Data!D438, "YYYY-MM-DD"))</f>
        <v>46071</v>
      </c>
      <c r="E438" s="6">
        <f>IF(ISBLANK(Raw_Data!E438), "", DATEVALUE(TEXT(Raw_Data!E438, "YYYY-MM-DD")))</f>
        <v>46073</v>
      </c>
      <c r="F438" s="5">
        <f t="shared" si="1"/>
        <v>2</v>
      </c>
      <c r="G438" s="5">
        <f t="shared" si="2"/>
        <v>3</v>
      </c>
      <c r="H438" s="5" t="str">
        <f t="shared" si="3"/>
        <v>SLA BREACH</v>
      </c>
      <c r="I438" s="5">
        <f>Raw_Data!F438</f>
        <v>11648</v>
      </c>
      <c r="J438" s="5">
        <f t="shared" si="4"/>
        <v>582.4</v>
      </c>
    </row>
    <row r="439">
      <c r="A439" s="5" t="str">
        <f>Raw_Data!A439</f>
        <v>TRK100437</v>
      </c>
      <c r="B439" s="5" t="str">
        <f>TRIM(Raw_Data!B439)</f>
        <v>BlueDart</v>
      </c>
      <c r="C439" s="5" t="str">
        <f>TRIM(Raw_Data!C439)</f>
        <v>Tier 2</v>
      </c>
      <c r="D439" s="6">
        <f>DATEVALUE(TEXT(Raw_Data!D439, "YYYY-MM-DD"))</f>
        <v>46034</v>
      </c>
      <c r="E439" s="6">
        <f>IF(ISBLANK(Raw_Data!E439), "", DATEVALUE(TEXT(Raw_Data!E439, "YYYY-MM-DD")))</f>
        <v>46040</v>
      </c>
      <c r="F439" s="5">
        <f t="shared" si="1"/>
        <v>4</v>
      </c>
      <c r="G439" s="5">
        <f t="shared" si="2"/>
        <v>5</v>
      </c>
      <c r="H439" s="5" t="str">
        <f t="shared" si="3"/>
        <v>SLA BREACH</v>
      </c>
      <c r="I439" s="5">
        <f>Raw_Data!F439</f>
        <v>2060</v>
      </c>
      <c r="J439" s="5">
        <f t="shared" si="4"/>
        <v>103</v>
      </c>
    </row>
    <row r="440">
      <c r="A440" s="5" t="str">
        <f>Raw_Data!A440</f>
        <v>TRK100438</v>
      </c>
      <c r="B440" s="5" t="str">
        <f>TRIM(Raw_Data!B440)</f>
        <v>Delhivery</v>
      </c>
      <c r="C440" s="5" t="str">
        <f>TRIM(Raw_Data!C440)</f>
        <v>Tier 3</v>
      </c>
      <c r="D440" s="6">
        <f>DATEVALUE(TEXT(Raw_Data!D440, "YYYY-MM-DD"))</f>
        <v>46077</v>
      </c>
      <c r="E440" s="6">
        <f>IF(ISBLANK(Raw_Data!E440), "", DATEVALUE(TEXT(Raw_Data!E440, "YYYY-MM-DD")))</f>
        <v>46084</v>
      </c>
      <c r="F440" s="5">
        <f t="shared" si="1"/>
        <v>6</v>
      </c>
      <c r="G440" s="5">
        <f t="shared" si="2"/>
        <v>6</v>
      </c>
      <c r="H440" s="5" t="str">
        <f t="shared" si="3"/>
        <v>ON TIME</v>
      </c>
      <c r="I440" s="5">
        <f>Raw_Data!F440</f>
        <v>1766</v>
      </c>
      <c r="J440" s="5">
        <f t="shared" si="4"/>
        <v>0</v>
      </c>
    </row>
    <row r="441">
      <c r="A441" s="5" t="str">
        <f>Raw_Data!A441</f>
        <v>TRK100439</v>
      </c>
      <c r="B441" s="5" t="str">
        <f>TRIM(Raw_Data!B441)</f>
        <v>Delhivery</v>
      </c>
      <c r="C441" s="5" t="str">
        <f>TRIM(Raw_Data!C441)</f>
        <v>Metro</v>
      </c>
      <c r="D441" s="6">
        <f>DATEVALUE(TEXT(Raw_Data!D441, "YYYY-MM-DD"))</f>
        <v>46080</v>
      </c>
      <c r="E441" s="6">
        <f>IF(ISBLANK(Raw_Data!E441), "", DATEVALUE(TEXT(Raw_Data!E441, "YYYY-MM-DD")))</f>
        <v>46082</v>
      </c>
      <c r="F441" s="5">
        <f t="shared" si="1"/>
        <v>2</v>
      </c>
      <c r="G441" s="5">
        <f t="shared" si="2"/>
        <v>1</v>
      </c>
      <c r="H441" s="5" t="str">
        <f t="shared" si="3"/>
        <v>ON TIME</v>
      </c>
      <c r="I441" s="5">
        <f>Raw_Data!F441</f>
        <v>10861</v>
      </c>
      <c r="J441" s="5">
        <f t="shared" si="4"/>
        <v>0</v>
      </c>
    </row>
    <row r="442">
      <c r="A442" s="5" t="str">
        <f>Raw_Data!A442</f>
        <v>TRK100440</v>
      </c>
      <c r="B442" s="5" t="str">
        <f>TRIM(Raw_Data!B442)</f>
        <v>EcomExpress</v>
      </c>
      <c r="C442" s="5" t="str">
        <f>TRIM(Raw_Data!C442)</f>
        <v>Tier 2</v>
      </c>
      <c r="D442" s="6">
        <f>DATEVALUE(TEXT(Raw_Data!D442, "YYYY-MM-DD"))</f>
        <v>46075</v>
      </c>
      <c r="E442" s="6">
        <f>IF(ISBLANK(Raw_Data!E442), "", DATEVALUE(TEXT(Raw_Data!E442, "YYYY-MM-DD")))</f>
        <v>46079</v>
      </c>
      <c r="F442" s="5">
        <f t="shared" si="1"/>
        <v>4</v>
      </c>
      <c r="G442" s="5">
        <f t="shared" si="2"/>
        <v>4</v>
      </c>
      <c r="H442" s="5" t="str">
        <f t="shared" si="3"/>
        <v>ON TIME</v>
      </c>
      <c r="I442" s="5">
        <f>Raw_Data!F442</f>
        <v>4138</v>
      </c>
      <c r="J442" s="5">
        <f t="shared" si="4"/>
        <v>0</v>
      </c>
    </row>
    <row r="443">
      <c r="A443" s="5" t="str">
        <f>Raw_Data!A443</f>
        <v>TRK100441</v>
      </c>
      <c r="B443" s="5" t="str">
        <f>TRIM(Raw_Data!B443)</f>
        <v>BlueDart</v>
      </c>
      <c r="C443" s="5" t="str">
        <f>TRIM(Raw_Data!C443)</f>
        <v>Tier 3</v>
      </c>
      <c r="D443" s="6">
        <f>DATEVALUE(TEXT(Raw_Data!D443, "YYYY-MM-DD"))</f>
        <v>46055</v>
      </c>
      <c r="E443" s="6">
        <f>IF(ISBLANK(Raw_Data!E443), "", DATEVALUE(TEXT(Raw_Data!E443, "YYYY-MM-DD")))</f>
        <v>46066</v>
      </c>
      <c r="F443" s="5">
        <f t="shared" si="1"/>
        <v>6</v>
      </c>
      <c r="G443" s="5">
        <f t="shared" si="2"/>
        <v>10</v>
      </c>
      <c r="H443" s="5" t="str">
        <f t="shared" si="3"/>
        <v>SLA BREACH</v>
      </c>
      <c r="I443" s="5">
        <f>Raw_Data!F443</f>
        <v>9441</v>
      </c>
      <c r="J443" s="5">
        <f t="shared" si="4"/>
        <v>472.05</v>
      </c>
    </row>
    <row r="444">
      <c r="A444" s="5" t="str">
        <f>Raw_Data!A444</f>
        <v>TRK100442</v>
      </c>
      <c r="B444" s="5" t="str">
        <f>TRIM(Raw_Data!B444)</f>
        <v>BlueDart</v>
      </c>
      <c r="C444" s="5" t="str">
        <f>TRIM(Raw_Data!C444)</f>
        <v>Tier 2</v>
      </c>
      <c r="D444" s="6">
        <f>DATEVALUE(TEXT(Raw_Data!D444, "YYYY-MM-DD"))</f>
        <v>46028</v>
      </c>
      <c r="E444" s="6">
        <f>IF(ISBLANK(Raw_Data!E444), "", DATEVALUE(TEXT(Raw_Data!E444, "YYYY-MM-DD")))</f>
        <v>46032</v>
      </c>
      <c r="F444" s="5">
        <f t="shared" si="1"/>
        <v>4</v>
      </c>
      <c r="G444" s="5">
        <f t="shared" si="2"/>
        <v>4</v>
      </c>
      <c r="H444" s="5" t="str">
        <f t="shared" si="3"/>
        <v>ON TIME</v>
      </c>
      <c r="I444" s="5">
        <f>Raw_Data!F444</f>
        <v>3927</v>
      </c>
      <c r="J444" s="5">
        <f t="shared" si="4"/>
        <v>0</v>
      </c>
    </row>
    <row r="445">
      <c r="A445" s="5" t="str">
        <f>Raw_Data!A445</f>
        <v>TRK100443</v>
      </c>
      <c r="B445" s="5" t="str">
        <f>TRIM(Raw_Data!B445)</f>
        <v>Delhivery</v>
      </c>
      <c r="C445" s="5" t="str">
        <f>TRIM(Raw_Data!C445)</f>
        <v>Tier 2</v>
      </c>
      <c r="D445" s="6">
        <f>DATEVALUE(TEXT(Raw_Data!D445, "YYYY-MM-DD"))</f>
        <v>46065</v>
      </c>
      <c r="E445" s="6">
        <f>IF(ISBLANK(Raw_Data!E445), "", DATEVALUE(TEXT(Raw_Data!E445, "YYYY-MM-DD")))</f>
        <v>46069</v>
      </c>
      <c r="F445" s="5">
        <f t="shared" si="1"/>
        <v>4</v>
      </c>
      <c r="G445" s="5">
        <f t="shared" si="2"/>
        <v>3</v>
      </c>
      <c r="H445" s="5" t="str">
        <f t="shared" si="3"/>
        <v>ON TIME</v>
      </c>
      <c r="I445" s="5">
        <f>Raw_Data!F445</f>
        <v>5280</v>
      </c>
      <c r="J445" s="5">
        <f t="shared" si="4"/>
        <v>0</v>
      </c>
    </row>
    <row r="446">
      <c r="A446" s="5" t="str">
        <f>Raw_Data!A446</f>
        <v>TRK100444</v>
      </c>
      <c r="B446" s="5" t="str">
        <f>TRIM(Raw_Data!B446)</f>
        <v>Delhivery</v>
      </c>
      <c r="C446" s="5" t="str">
        <f>TRIM(Raw_Data!C446)</f>
        <v>Metro</v>
      </c>
      <c r="D446" s="6">
        <f>DATEVALUE(TEXT(Raw_Data!D446, "YYYY-MM-DD"))</f>
        <v>46034</v>
      </c>
      <c r="E446" s="6">
        <f>IF(ISBLANK(Raw_Data!E446), "", DATEVALUE(TEXT(Raw_Data!E446, "YYYY-MM-DD")))</f>
        <v>46037</v>
      </c>
      <c r="F446" s="5">
        <f t="shared" si="1"/>
        <v>2</v>
      </c>
      <c r="G446" s="5">
        <f t="shared" si="2"/>
        <v>4</v>
      </c>
      <c r="H446" s="5" t="str">
        <f t="shared" si="3"/>
        <v>SLA BREACH</v>
      </c>
      <c r="I446" s="5">
        <f>Raw_Data!F446</f>
        <v>2427</v>
      </c>
      <c r="J446" s="5">
        <f t="shared" si="4"/>
        <v>121.35</v>
      </c>
    </row>
    <row r="447">
      <c r="A447" s="5" t="str">
        <f>Raw_Data!A447</f>
        <v>TRK100445</v>
      </c>
      <c r="B447" s="5" t="str">
        <f>TRIM(Raw_Data!B447)</f>
        <v>BlueDart</v>
      </c>
      <c r="C447" s="5" t="str">
        <f>TRIM(Raw_Data!C447)</f>
        <v>Tier 3</v>
      </c>
      <c r="D447" s="6">
        <f>DATEVALUE(TEXT(Raw_Data!D447, "YYYY-MM-DD"))</f>
        <v>46053</v>
      </c>
      <c r="E447" s="6">
        <f>IF(ISBLANK(Raw_Data!E447), "", DATEVALUE(TEXT(Raw_Data!E447, "YYYY-MM-DD")))</f>
        <v>46062</v>
      </c>
      <c r="F447" s="5">
        <f t="shared" si="1"/>
        <v>6</v>
      </c>
      <c r="G447" s="5">
        <f t="shared" si="2"/>
        <v>6</v>
      </c>
      <c r="H447" s="5" t="str">
        <f t="shared" si="3"/>
        <v>ON TIME</v>
      </c>
      <c r="I447" s="5">
        <f>Raw_Data!F447</f>
        <v>2856</v>
      </c>
      <c r="J447" s="5">
        <f t="shared" si="4"/>
        <v>0</v>
      </c>
    </row>
    <row r="448">
      <c r="A448" s="5" t="str">
        <f>Raw_Data!A448</f>
        <v>TRK100446</v>
      </c>
      <c r="B448" s="5" t="str">
        <f>TRIM(Raw_Data!B448)</f>
        <v>Delhivery</v>
      </c>
      <c r="C448" s="5" t="str">
        <f>TRIM(Raw_Data!C448)</f>
        <v>Tier 2</v>
      </c>
      <c r="D448" s="6">
        <f>DATEVALUE(TEXT(Raw_Data!D448, "YYYY-MM-DD"))</f>
        <v>46082</v>
      </c>
      <c r="E448" s="6">
        <f>IF(ISBLANK(Raw_Data!E448), "", DATEVALUE(TEXT(Raw_Data!E448, "YYYY-MM-DD")))</f>
        <v>46091</v>
      </c>
      <c r="F448" s="5">
        <f t="shared" si="1"/>
        <v>4</v>
      </c>
      <c r="G448" s="5">
        <f t="shared" si="2"/>
        <v>7</v>
      </c>
      <c r="H448" s="5" t="str">
        <f t="shared" si="3"/>
        <v>SLA BREACH</v>
      </c>
      <c r="I448" s="5">
        <f>Raw_Data!F448</f>
        <v>5290</v>
      </c>
      <c r="J448" s="5">
        <f t="shared" si="4"/>
        <v>264.5</v>
      </c>
    </row>
    <row r="449">
      <c r="A449" s="5" t="str">
        <f>Raw_Data!A449</f>
        <v>TRK100447</v>
      </c>
      <c r="B449" s="5" t="str">
        <f>TRIM(Raw_Data!B449)</f>
        <v>EcomExpress</v>
      </c>
      <c r="C449" s="5" t="str">
        <f>TRIM(Raw_Data!C449)</f>
        <v>Metro</v>
      </c>
      <c r="D449" s="6">
        <f>DATEVALUE(TEXT(Raw_Data!D449, "YYYY-MM-DD"))</f>
        <v>46023</v>
      </c>
      <c r="E449" s="6">
        <f>IF(ISBLANK(Raw_Data!E449), "", DATEVALUE(TEXT(Raw_Data!E449, "YYYY-MM-DD")))</f>
        <v>46026</v>
      </c>
      <c r="F449" s="5">
        <f t="shared" si="1"/>
        <v>2</v>
      </c>
      <c r="G449" s="5">
        <f t="shared" si="2"/>
        <v>2</v>
      </c>
      <c r="H449" s="5" t="str">
        <f t="shared" si="3"/>
        <v>ON TIME</v>
      </c>
      <c r="I449" s="5">
        <f>Raw_Data!F449</f>
        <v>11027</v>
      </c>
      <c r="J449" s="5">
        <f t="shared" si="4"/>
        <v>0</v>
      </c>
    </row>
    <row r="450">
      <c r="A450" s="5" t="str">
        <f>Raw_Data!A450</f>
        <v>TRK100448</v>
      </c>
      <c r="B450" s="5" t="str">
        <f>TRIM(Raw_Data!B450)</f>
        <v>BlueDart</v>
      </c>
      <c r="C450" s="5" t="str">
        <f>TRIM(Raw_Data!C450)</f>
        <v>Tier 2</v>
      </c>
      <c r="D450" s="6">
        <f>DATEVALUE(TEXT(Raw_Data!D450, "YYYY-MM-DD"))</f>
        <v>46047</v>
      </c>
      <c r="E450" s="6">
        <f>IF(ISBLANK(Raw_Data!E450), "", DATEVALUE(TEXT(Raw_Data!E450, "YYYY-MM-DD")))</f>
        <v>46051</v>
      </c>
      <c r="F450" s="5">
        <f t="shared" si="1"/>
        <v>4</v>
      </c>
      <c r="G450" s="5">
        <f t="shared" si="2"/>
        <v>4</v>
      </c>
      <c r="H450" s="5" t="str">
        <f t="shared" si="3"/>
        <v>ON TIME</v>
      </c>
      <c r="I450" s="5">
        <f>Raw_Data!F450</f>
        <v>806</v>
      </c>
      <c r="J450" s="5">
        <f t="shared" si="4"/>
        <v>0</v>
      </c>
    </row>
    <row r="451">
      <c r="A451" s="5" t="str">
        <f>Raw_Data!A451</f>
        <v>TRK100449</v>
      </c>
      <c r="B451" s="5" t="str">
        <f>TRIM(Raw_Data!B451)</f>
        <v>Delhivery</v>
      </c>
      <c r="C451" s="5" t="str">
        <f>TRIM(Raw_Data!C451)</f>
        <v>Tier 2</v>
      </c>
      <c r="D451" s="6">
        <f>DATEVALUE(TEXT(Raw_Data!D451, "YYYY-MM-DD"))</f>
        <v>46051</v>
      </c>
      <c r="E451" s="6">
        <f>IF(ISBLANK(Raw_Data!E451), "", DATEVALUE(TEXT(Raw_Data!E451, "YYYY-MM-DD")))</f>
        <v>46055</v>
      </c>
      <c r="F451" s="5">
        <f t="shared" si="1"/>
        <v>4</v>
      </c>
      <c r="G451" s="5">
        <f t="shared" si="2"/>
        <v>3</v>
      </c>
      <c r="H451" s="5" t="str">
        <f t="shared" si="3"/>
        <v>ON TIME</v>
      </c>
      <c r="I451" s="5">
        <f>Raw_Data!F451</f>
        <v>8479</v>
      </c>
      <c r="J451" s="5">
        <f t="shared" si="4"/>
        <v>0</v>
      </c>
    </row>
    <row r="452">
      <c r="A452" s="5" t="str">
        <f>Raw_Data!A452</f>
        <v>TRK100450</v>
      </c>
      <c r="B452" s="5" t="str">
        <f>TRIM(Raw_Data!B452)</f>
        <v>EcomExpress</v>
      </c>
      <c r="C452" s="5" t="str">
        <f>TRIM(Raw_Data!C452)</f>
        <v>Metro</v>
      </c>
      <c r="D452" s="6">
        <f>DATEVALUE(TEXT(Raw_Data!D452, "YYYY-MM-DD"))</f>
        <v>46040</v>
      </c>
      <c r="E452" s="6">
        <f>IF(ISBLANK(Raw_Data!E452), "", DATEVALUE(TEXT(Raw_Data!E452, "YYYY-MM-DD")))</f>
        <v>46043</v>
      </c>
      <c r="F452" s="5">
        <f t="shared" si="1"/>
        <v>2</v>
      </c>
      <c r="G452" s="5">
        <f t="shared" si="2"/>
        <v>3</v>
      </c>
      <c r="H452" s="5" t="str">
        <f t="shared" si="3"/>
        <v>SLA BREACH</v>
      </c>
      <c r="I452" s="5">
        <f>Raw_Data!F452</f>
        <v>4165</v>
      </c>
      <c r="J452" s="5">
        <f t="shared" si="4"/>
        <v>208.25</v>
      </c>
    </row>
    <row r="453">
      <c r="A453" s="5" t="str">
        <f>Raw_Data!A453</f>
        <v>TRK100451</v>
      </c>
      <c r="B453" s="5" t="str">
        <f>TRIM(Raw_Data!B453)</f>
        <v>BlueDart</v>
      </c>
      <c r="C453" s="5" t="str">
        <f>TRIM(Raw_Data!C453)</f>
        <v>Tier 2</v>
      </c>
      <c r="D453" s="6">
        <f>DATEVALUE(TEXT(Raw_Data!D453, "YYYY-MM-DD"))</f>
        <v>46042</v>
      </c>
      <c r="E453" s="6">
        <f>IF(ISBLANK(Raw_Data!E453), "", DATEVALUE(TEXT(Raw_Data!E453, "YYYY-MM-DD")))</f>
        <v>46046</v>
      </c>
      <c r="F453" s="5">
        <f t="shared" si="1"/>
        <v>4</v>
      </c>
      <c r="G453" s="5">
        <f t="shared" si="2"/>
        <v>4</v>
      </c>
      <c r="H453" s="5" t="str">
        <f t="shared" si="3"/>
        <v>ON TIME</v>
      </c>
      <c r="I453" s="5">
        <f>Raw_Data!F453</f>
        <v>10681</v>
      </c>
      <c r="J453" s="5">
        <f t="shared" si="4"/>
        <v>0</v>
      </c>
    </row>
    <row r="454">
      <c r="A454" s="5" t="str">
        <f>Raw_Data!A454</f>
        <v>TRK100452</v>
      </c>
      <c r="B454" s="5" t="str">
        <f>TRIM(Raw_Data!B454)</f>
        <v>EcomExpress</v>
      </c>
      <c r="C454" s="5" t="str">
        <f>TRIM(Raw_Data!C454)</f>
        <v>Metro</v>
      </c>
      <c r="D454" s="6">
        <f>DATEVALUE(TEXT(Raw_Data!D454, "YYYY-MM-DD"))</f>
        <v>46069</v>
      </c>
      <c r="E454" s="6">
        <f>IF(ISBLANK(Raw_Data!E454), "", DATEVALUE(TEXT(Raw_Data!E454, "YYYY-MM-DD")))</f>
        <v>46071</v>
      </c>
      <c r="F454" s="5">
        <f t="shared" si="1"/>
        <v>2</v>
      </c>
      <c r="G454" s="5">
        <f t="shared" si="2"/>
        <v>3</v>
      </c>
      <c r="H454" s="5" t="str">
        <f t="shared" si="3"/>
        <v>SLA BREACH</v>
      </c>
      <c r="I454" s="5">
        <f>Raw_Data!F454</f>
        <v>7557</v>
      </c>
      <c r="J454" s="5">
        <f t="shared" si="4"/>
        <v>377.85</v>
      </c>
    </row>
    <row r="455">
      <c r="A455" s="5" t="str">
        <f>Raw_Data!A455</f>
        <v>TRK100453</v>
      </c>
      <c r="B455" s="5" t="str">
        <f>TRIM(Raw_Data!B455)</f>
        <v>EcomExpress</v>
      </c>
      <c r="C455" s="5" t="str">
        <f>TRIM(Raw_Data!C455)</f>
        <v>Tier 3</v>
      </c>
      <c r="D455" s="6">
        <f>DATEVALUE(TEXT(Raw_Data!D455, "YYYY-MM-DD"))</f>
        <v>46023</v>
      </c>
      <c r="E455" s="6">
        <f>IF(ISBLANK(Raw_Data!E455), "", DATEVALUE(TEXT(Raw_Data!E455, "YYYY-MM-DD")))</f>
        <v>46031</v>
      </c>
      <c r="F455" s="5">
        <f t="shared" si="1"/>
        <v>6</v>
      </c>
      <c r="G455" s="5">
        <f t="shared" si="2"/>
        <v>7</v>
      </c>
      <c r="H455" s="5" t="str">
        <f t="shared" si="3"/>
        <v>SLA BREACH</v>
      </c>
      <c r="I455" s="5">
        <f>Raw_Data!F455</f>
        <v>1161</v>
      </c>
      <c r="J455" s="5">
        <f t="shared" si="4"/>
        <v>58.05</v>
      </c>
    </row>
    <row r="456">
      <c r="A456" s="5" t="str">
        <f>Raw_Data!A456</f>
        <v>TRK100454</v>
      </c>
      <c r="B456" s="5" t="str">
        <f>TRIM(Raw_Data!B456)</f>
        <v>BlueDart</v>
      </c>
      <c r="C456" s="5" t="str">
        <f>TRIM(Raw_Data!C456)</f>
        <v>Tier 2</v>
      </c>
      <c r="D456" s="6">
        <f>DATEVALUE(TEXT(Raw_Data!D456, "YYYY-MM-DD"))</f>
        <v>46064</v>
      </c>
      <c r="E456" s="6">
        <f>IF(ISBLANK(Raw_Data!E456), "", DATEVALUE(TEXT(Raw_Data!E456, "YYYY-MM-DD")))</f>
        <v>46068</v>
      </c>
      <c r="F456" s="5">
        <f t="shared" si="1"/>
        <v>4</v>
      </c>
      <c r="G456" s="5">
        <f t="shared" si="2"/>
        <v>3</v>
      </c>
      <c r="H456" s="5" t="str">
        <f t="shared" si="3"/>
        <v>ON TIME</v>
      </c>
      <c r="I456" s="5">
        <f>Raw_Data!F456</f>
        <v>5144</v>
      </c>
      <c r="J456" s="5">
        <f t="shared" si="4"/>
        <v>0</v>
      </c>
    </row>
    <row r="457">
      <c r="A457" s="5" t="str">
        <f>Raw_Data!A457</f>
        <v>TRK100455</v>
      </c>
      <c r="B457" s="5" t="str">
        <f>TRIM(Raw_Data!B457)</f>
        <v>EcomExpress</v>
      </c>
      <c r="C457" s="5" t="str">
        <f>TRIM(Raw_Data!C457)</f>
        <v>Tier 3</v>
      </c>
      <c r="D457" s="6">
        <f>DATEVALUE(TEXT(Raw_Data!D457, "YYYY-MM-DD"))</f>
        <v>46067</v>
      </c>
      <c r="E457" s="6">
        <f>IF(ISBLANK(Raw_Data!E457), "", DATEVALUE(TEXT(Raw_Data!E457, "YYYY-MM-DD")))</f>
        <v>46073</v>
      </c>
      <c r="F457" s="5">
        <f t="shared" si="1"/>
        <v>6</v>
      </c>
      <c r="G457" s="5">
        <f t="shared" si="2"/>
        <v>5</v>
      </c>
      <c r="H457" s="5" t="str">
        <f t="shared" si="3"/>
        <v>ON TIME</v>
      </c>
      <c r="I457" s="5">
        <f>Raw_Data!F457</f>
        <v>9003</v>
      </c>
      <c r="J457" s="5">
        <f t="shared" si="4"/>
        <v>0</v>
      </c>
    </row>
    <row r="458">
      <c r="A458" s="5" t="str">
        <f>Raw_Data!A458</f>
        <v>TRK100456</v>
      </c>
      <c r="B458" s="5" t="str">
        <f>TRIM(Raw_Data!B458)</f>
        <v>Delhivery</v>
      </c>
      <c r="C458" s="5" t="str">
        <f>TRIM(Raw_Data!C458)</f>
        <v>Tier 3</v>
      </c>
      <c r="D458" s="6">
        <f>DATEVALUE(TEXT(Raw_Data!D458, "YYYY-MM-DD"))</f>
        <v>46026</v>
      </c>
      <c r="E458" s="6">
        <f>IF(ISBLANK(Raw_Data!E458), "", DATEVALUE(TEXT(Raw_Data!E458, "YYYY-MM-DD")))</f>
        <v>46032</v>
      </c>
      <c r="F458" s="5">
        <f t="shared" si="1"/>
        <v>6</v>
      </c>
      <c r="G458" s="5">
        <f t="shared" si="2"/>
        <v>5</v>
      </c>
      <c r="H458" s="5" t="str">
        <f t="shared" si="3"/>
        <v>ON TIME</v>
      </c>
      <c r="I458" s="5">
        <f>Raw_Data!F458</f>
        <v>3420</v>
      </c>
      <c r="J458" s="5">
        <f t="shared" si="4"/>
        <v>0</v>
      </c>
    </row>
    <row r="459">
      <c r="A459" s="5" t="str">
        <f>Raw_Data!A459</f>
        <v>TRK100457</v>
      </c>
      <c r="B459" s="5" t="str">
        <f>TRIM(Raw_Data!B459)</f>
        <v>Delhivery</v>
      </c>
      <c r="C459" s="5" t="str">
        <f>TRIM(Raw_Data!C459)</f>
        <v>Tier 2</v>
      </c>
      <c r="D459" s="6">
        <f>DATEVALUE(TEXT(Raw_Data!D459, "YYYY-MM-DD"))</f>
        <v>46030</v>
      </c>
      <c r="E459" s="6">
        <f>IF(ISBLANK(Raw_Data!E459), "", DATEVALUE(TEXT(Raw_Data!E459, "YYYY-MM-DD")))</f>
        <v>46034</v>
      </c>
      <c r="F459" s="5">
        <f t="shared" si="1"/>
        <v>4</v>
      </c>
      <c r="G459" s="5">
        <f t="shared" si="2"/>
        <v>3</v>
      </c>
      <c r="H459" s="5" t="str">
        <f t="shared" si="3"/>
        <v>ON TIME</v>
      </c>
      <c r="I459" s="5">
        <f>Raw_Data!F459</f>
        <v>9774</v>
      </c>
      <c r="J459" s="5">
        <f t="shared" si="4"/>
        <v>0</v>
      </c>
    </row>
    <row r="460">
      <c r="A460" s="5" t="str">
        <f>Raw_Data!A460</f>
        <v>TRK100458</v>
      </c>
      <c r="B460" s="5" t="str">
        <f>TRIM(Raw_Data!B460)</f>
        <v>Delhivery</v>
      </c>
      <c r="C460" s="5" t="str">
        <f>TRIM(Raw_Data!C460)</f>
        <v>Metro</v>
      </c>
      <c r="D460" s="6">
        <f>DATEVALUE(TEXT(Raw_Data!D460, "YYYY-MM-DD"))</f>
        <v>46042</v>
      </c>
      <c r="E460" s="6">
        <f>IF(ISBLANK(Raw_Data!E460), "", DATEVALUE(TEXT(Raw_Data!E460, "YYYY-MM-DD")))</f>
        <v>46044</v>
      </c>
      <c r="F460" s="5">
        <f t="shared" si="1"/>
        <v>2</v>
      </c>
      <c r="G460" s="5">
        <f t="shared" si="2"/>
        <v>3</v>
      </c>
      <c r="H460" s="5" t="str">
        <f t="shared" si="3"/>
        <v>SLA BREACH</v>
      </c>
      <c r="I460" s="5">
        <f>Raw_Data!F460</f>
        <v>11663</v>
      </c>
      <c r="J460" s="5">
        <f t="shared" si="4"/>
        <v>583.15</v>
      </c>
    </row>
    <row r="461">
      <c r="A461" s="5" t="str">
        <f>Raw_Data!A461</f>
        <v>TRK100459</v>
      </c>
      <c r="B461" s="5" t="str">
        <f>TRIM(Raw_Data!B461)</f>
        <v>EcomExpress</v>
      </c>
      <c r="C461" s="5" t="str">
        <f>TRIM(Raw_Data!C461)</f>
        <v>Tier 2</v>
      </c>
      <c r="D461" s="6">
        <f>DATEVALUE(TEXT(Raw_Data!D461, "YYYY-MM-DD"))</f>
        <v>46048</v>
      </c>
      <c r="E461" s="6">
        <f>IF(ISBLANK(Raw_Data!E461), "", DATEVALUE(TEXT(Raw_Data!E461, "YYYY-MM-DD")))</f>
        <v>46052</v>
      </c>
      <c r="F461" s="5">
        <f t="shared" si="1"/>
        <v>4</v>
      </c>
      <c r="G461" s="5">
        <f t="shared" si="2"/>
        <v>5</v>
      </c>
      <c r="H461" s="5" t="str">
        <f t="shared" si="3"/>
        <v>SLA BREACH</v>
      </c>
      <c r="I461" s="5">
        <f>Raw_Data!F461</f>
        <v>9446</v>
      </c>
      <c r="J461" s="5">
        <f t="shared" si="4"/>
        <v>472.3</v>
      </c>
    </row>
    <row r="462">
      <c r="A462" s="5" t="str">
        <f>Raw_Data!A462</f>
        <v>TRK100460</v>
      </c>
      <c r="B462" s="5" t="str">
        <f>TRIM(Raw_Data!B462)</f>
        <v>Delhivery</v>
      </c>
      <c r="C462" s="5" t="str">
        <f>TRIM(Raw_Data!C462)</f>
        <v>Tier 2</v>
      </c>
      <c r="D462" s="6">
        <f>DATEVALUE(TEXT(Raw_Data!D462, "YYYY-MM-DD"))</f>
        <v>46055</v>
      </c>
      <c r="E462" s="6">
        <f>IF(ISBLANK(Raw_Data!E462), "", DATEVALUE(TEXT(Raw_Data!E462, "YYYY-MM-DD")))</f>
        <v>46059</v>
      </c>
      <c r="F462" s="5">
        <f t="shared" si="1"/>
        <v>4</v>
      </c>
      <c r="G462" s="5">
        <f t="shared" si="2"/>
        <v>5</v>
      </c>
      <c r="H462" s="5" t="str">
        <f t="shared" si="3"/>
        <v>SLA BREACH</v>
      </c>
      <c r="I462" s="5">
        <f>Raw_Data!F462</f>
        <v>6736</v>
      </c>
      <c r="J462" s="5">
        <f t="shared" si="4"/>
        <v>336.8</v>
      </c>
    </row>
    <row r="463">
      <c r="A463" s="5" t="str">
        <f>Raw_Data!A463</f>
        <v>TRK100461</v>
      </c>
      <c r="B463" s="5" t="str">
        <f>TRIM(Raw_Data!B463)</f>
        <v>EcomExpress</v>
      </c>
      <c r="C463" s="5" t="str">
        <f>TRIM(Raw_Data!C463)</f>
        <v>Metro</v>
      </c>
      <c r="D463" s="6">
        <f>DATEVALUE(TEXT(Raw_Data!D463, "YYYY-MM-DD"))</f>
        <v>46072</v>
      </c>
      <c r="E463" s="6">
        <f>IF(ISBLANK(Raw_Data!E463), "", DATEVALUE(TEXT(Raw_Data!E463, "YYYY-MM-DD")))</f>
        <v>46074</v>
      </c>
      <c r="F463" s="5">
        <f t="shared" si="1"/>
        <v>2</v>
      </c>
      <c r="G463" s="5">
        <f t="shared" si="2"/>
        <v>2</v>
      </c>
      <c r="H463" s="5" t="str">
        <f t="shared" si="3"/>
        <v>ON TIME</v>
      </c>
      <c r="I463" s="5">
        <f>Raw_Data!F463</f>
        <v>6578</v>
      </c>
      <c r="J463" s="5">
        <f t="shared" si="4"/>
        <v>0</v>
      </c>
    </row>
    <row r="464">
      <c r="A464" s="5" t="str">
        <f>Raw_Data!A464</f>
        <v>TRK100462</v>
      </c>
      <c r="B464" s="5" t="str">
        <f>TRIM(Raw_Data!B464)</f>
        <v>Delhivery</v>
      </c>
      <c r="C464" s="5" t="str">
        <f>TRIM(Raw_Data!C464)</f>
        <v>Metro</v>
      </c>
      <c r="D464" s="6">
        <f>DATEVALUE(TEXT(Raw_Data!D464, "YYYY-MM-DD"))</f>
        <v>46067</v>
      </c>
      <c r="E464" s="6">
        <f>IF(ISBLANK(Raw_Data!E464), "", DATEVALUE(TEXT(Raw_Data!E464, "YYYY-MM-DD")))</f>
        <v>46070</v>
      </c>
      <c r="F464" s="5">
        <f t="shared" si="1"/>
        <v>2</v>
      </c>
      <c r="G464" s="5">
        <f t="shared" si="2"/>
        <v>2</v>
      </c>
      <c r="H464" s="5" t="str">
        <f t="shared" si="3"/>
        <v>ON TIME</v>
      </c>
      <c r="I464" s="5">
        <f>Raw_Data!F464</f>
        <v>852</v>
      </c>
      <c r="J464" s="5">
        <f t="shared" si="4"/>
        <v>0</v>
      </c>
    </row>
    <row r="465">
      <c r="A465" s="5" t="str">
        <f>Raw_Data!A465</f>
        <v>TRK100463</v>
      </c>
      <c r="B465" s="5" t="str">
        <f>TRIM(Raw_Data!B465)</f>
        <v>BlueDart</v>
      </c>
      <c r="C465" s="5" t="str">
        <f>TRIM(Raw_Data!C465)</f>
        <v>Tier 2</v>
      </c>
      <c r="D465" s="6">
        <f>DATEVALUE(TEXT(Raw_Data!D465, "YYYY-MM-DD"))</f>
        <v>46063</v>
      </c>
      <c r="E465" s="6">
        <f>IF(ISBLANK(Raw_Data!E465), "", DATEVALUE(TEXT(Raw_Data!E465, "YYYY-MM-DD")))</f>
        <v>46067</v>
      </c>
      <c r="F465" s="5">
        <f t="shared" si="1"/>
        <v>4</v>
      </c>
      <c r="G465" s="5">
        <f t="shared" si="2"/>
        <v>4</v>
      </c>
      <c r="H465" s="5" t="str">
        <f t="shared" si="3"/>
        <v>ON TIME</v>
      </c>
      <c r="I465" s="5">
        <f>Raw_Data!F465</f>
        <v>9594</v>
      </c>
      <c r="J465" s="5">
        <f t="shared" si="4"/>
        <v>0</v>
      </c>
    </row>
    <row r="466">
      <c r="A466" s="5" t="str">
        <f>Raw_Data!A466</f>
        <v>TRK100464</v>
      </c>
      <c r="B466" s="5" t="str">
        <f>TRIM(Raw_Data!B466)</f>
        <v>EcomExpress</v>
      </c>
      <c r="C466" s="5" t="str">
        <f>TRIM(Raw_Data!C466)</f>
        <v>Metro</v>
      </c>
      <c r="D466" s="6">
        <f>DATEVALUE(TEXT(Raw_Data!D466, "YYYY-MM-DD"))</f>
        <v>46046</v>
      </c>
      <c r="E466" s="6">
        <f>IF(ISBLANK(Raw_Data!E466), "", DATEVALUE(TEXT(Raw_Data!E466, "YYYY-MM-DD")))</f>
        <v>46051</v>
      </c>
      <c r="F466" s="5">
        <f t="shared" si="1"/>
        <v>2</v>
      </c>
      <c r="G466" s="5">
        <f t="shared" si="2"/>
        <v>4</v>
      </c>
      <c r="H466" s="5" t="str">
        <f t="shared" si="3"/>
        <v>SLA BREACH</v>
      </c>
      <c r="I466" s="5">
        <f>Raw_Data!F466</f>
        <v>7505</v>
      </c>
      <c r="J466" s="5">
        <f t="shared" si="4"/>
        <v>375.25</v>
      </c>
    </row>
    <row r="467">
      <c r="A467" s="5" t="str">
        <f>Raw_Data!A467</f>
        <v>TRK100465</v>
      </c>
      <c r="B467" s="5" t="str">
        <f>TRIM(Raw_Data!B467)</f>
        <v>EcomExpress</v>
      </c>
      <c r="C467" s="5" t="str">
        <f>TRIM(Raw_Data!C467)</f>
        <v>Tier 3</v>
      </c>
      <c r="D467" s="6">
        <f>DATEVALUE(TEXT(Raw_Data!D467, "YYYY-MM-DD"))</f>
        <v>46037</v>
      </c>
      <c r="E467" s="6">
        <f>IF(ISBLANK(Raw_Data!E467), "", DATEVALUE(TEXT(Raw_Data!E467, "YYYY-MM-DD")))</f>
        <v>46043</v>
      </c>
      <c r="F467" s="5">
        <f t="shared" si="1"/>
        <v>6</v>
      </c>
      <c r="G467" s="5">
        <f t="shared" si="2"/>
        <v>5</v>
      </c>
      <c r="H467" s="5" t="str">
        <f t="shared" si="3"/>
        <v>ON TIME</v>
      </c>
      <c r="I467" s="5">
        <f>Raw_Data!F467</f>
        <v>658</v>
      </c>
      <c r="J467" s="5">
        <f t="shared" si="4"/>
        <v>0</v>
      </c>
    </row>
    <row r="468">
      <c r="A468" s="5" t="str">
        <f>Raw_Data!A468</f>
        <v>TRK100466</v>
      </c>
      <c r="B468" s="5" t="str">
        <f>TRIM(Raw_Data!B468)</f>
        <v>Delhivery</v>
      </c>
      <c r="C468" s="5" t="str">
        <f>TRIM(Raw_Data!C468)</f>
        <v>Metro</v>
      </c>
      <c r="D468" s="6">
        <f>DATEVALUE(TEXT(Raw_Data!D468, "YYYY-MM-DD"))</f>
        <v>46031</v>
      </c>
      <c r="E468" s="6">
        <f>IF(ISBLANK(Raw_Data!E468), "", DATEVALUE(TEXT(Raw_Data!E468, "YYYY-MM-DD")))</f>
        <v>46033</v>
      </c>
      <c r="F468" s="5">
        <f t="shared" si="1"/>
        <v>2</v>
      </c>
      <c r="G468" s="5">
        <f t="shared" si="2"/>
        <v>1</v>
      </c>
      <c r="H468" s="5" t="str">
        <f t="shared" si="3"/>
        <v>ON TIME</v>
      </c>
      <c r="I468" s="5">
        <f>Raw_Data!F468</f>
        <v>10669</v>
      </c>
      <c r="J468" s="5">
        <f t="shared" si="4"/>
        <v>0</v>
      </c>
    </row>
    <row r="469">
      <c r="A469" s="5" t="str">
        <f>Raw_Data!A469</f>
        <v>TRK100467</v>
      </c>
      <c r="B469" s="5" t="str">
        <f>TRIM(Raw_Data!B469)</f>
        <v>BlueDart</v>
      </c>
      <c r="C469" s="5" t="str">
        <f>TRIM(Raw_Data!C469)</f>
        <v>Tier 3</v>
      </c>
      <c r="D469" s="6">
        <f>DATEVALUE(TEXT(Raw_Data!D469, "YYYY-MM-DD"))</f>
        <v>46032</v>
      </c>
      <c r="E469" s="6">
        <f>IF(ISBLANK(Raw_Data!E469), "", DATEVALUE(TEXT(Raw_Data!E469, "YYYY-MM-DD")))</f>
        <v>46040</v>
      </c>
      <c r="F469" s="5">
        <f t="shared" si="1"/>
        <v>6</v>
      </c>
      <c r="G469" s="5">
        <f t="shared" si="2"/>
        <v>5</v>
      </c>
      <c r="H469" s="5" t="str">
        <f t="shared" si="3"/>
        <v>ON TIME</v>
      </c>
      <c r="I469" s="5">
        <f>Raw_Data!F469</f>
        <v>1456</v>
      </c>
      <c r="J469" s="5">
        <f t="shared" si="4"/>
        <v>0</v>
      </c>
    </row>
    <row r="470">
      <c r="A470" s="5" t="str">
        <f>Raw_Data!A470</f>
        <v>TRK100468</v>
      </c>
      <c r="B470" s="5" t="str">
        <f>TRIM(Raw_Data!B470)</f>
        <v>Delhivery</v>
      </c>
      <c r="C470" s="5" t="str">
        <f>TRIM(Raw_Data!C470)</f>
        <v>Tier 3</v>
      </c>
      <c r="D470" s="6">
        <f>DATEVALUE(TEXT(Raw_Data!D470, "YYYY-MM-DD"))</f>
        <v>46070</v>
      </c>
      <c r="E470" s="6">
        <f>IF(ISBLANK(Raw_Data!E470), "", DATEVALUE(TEXT(Raw_Data!E470, "YYYY-MM-DD")))</f>
        <v>46076</v>
      </c>
      <c r="F470" s="5">
        <f t="shared" si="1"/>
        <v>6</v>
      </c>
      <c r="G470" s="5">
        <f t="shared" si="2"/>
        <v>5</v>
      </c>
      <c r="H470" s="5" t="str">
        <f t="shared" si="3"/>
        <v>ON TIME</v>
      </c>
      <c r="I470" s="5">
        <f>Raw_Data!F470</f>
        <v>2571</v>
      </c>
      <c r="J470" s="5">
        <f t="shared" si="4"/>
        <v>0</v>
      </c>
    </row>
    <row r="471">
      <c r="A471" s="5" t="str">
        <f>Raw_Data!A471</f>
        <v>TRK100469</v>
      </c>
      <c r="B471" s="5" t="str">
        <f>TRIM(Raw_Data!B471)</f>
        <v>Delhivery</v>
      </c>
      <c r="C471" s="5" t="str">
        <f>TRIM(Raw_Data!C471)</f>
        <v>Tier 3</v>
      </c>
      <c r="D471" s="6">
        <f>DATEVALUE(TEXT(Raw_Data!D471, "YYYY-MM-DD"))</f>
        <v>46046</v>
      </c>
      <c r="E471" s="6">
        <f>IF(ISBLANK(Raw_Data!E471), "", DATEVALUE(TEXT(Raw_Data!E471, "YYYY-MM-DD")))</f>
        <v>46055</v>
      </c>
      <c r="F471" s="5">
        <f t="shared" si="1"/>
        <v>6</v>
      </c>
      <c r="G471" s="5">
        <f t="shared" si="2"/>
        <v>6</v>
      </c>
      <c r="H471" s="5" t="str">
        <f t="shared" si="3"/>
        <v>ON TIME</v>
      </c>
      <c r="I471" s="5">
        <f>Raw_Data!F471</f>
        <v>9095</v>
      </c>
      <c r="J471" s="5">
        <f t="shared" si="4"/>
        <v>0</v>
      </c>
    </row>
    <row r="472">
      <c r="A472" s="5" t="str">
        <f>Raw_Data!A472</f>
        <v>TRK100470</v>
      </c>
      <c r="B472" s="5" t="str">
        <f>TRIM(Raw_Data!B472)</f>
        <v>BlueDart</v>
      </c>
      <c r="C472" s="5" t="str">
        <f>TRIM(Raw_Data!C472)</f>
        <v>Metro</v>
      </c>
      <c r="D472" s="6">
        <f>DATEVALUE(TEXT(Raw_Data!D472, "YYYY-MM-DD"))</f>
        <v>46067</v>
      </c>
      <c r="E472" s="6">
        <f>IF(ISBLANK(Raw_Data!E472), "", DATEVALUE(TEXT(Raw_Data!E472, "YYYY-MM-DD")))</f>
        <v>46069</v>
      </c>
      <c r="F472" s="5">
        <f t="shared" si="1"/>
        <v>2</v>
      </c>
      <c r="G472" s="5">
        <f t="shared" si="2"/>
        <v>1</v>
      </c>
      <c r="H472" s="5" t="str">
        <f t="shared" si="3"/>
        <v>ON TIME</v>
      </c>
      <c r="I472" s="5">
        <f>Raw_Data!F472</f>
        <v>11471</v>
      </c>
      <c r="J472" s="5">
        <f t="shared" si="4"/>
        <v>0</v>
      </c>
    </row>
    <row r="473">
      <c r="A473" s="5" t="str">
        <f>Raw_Data!A473</f>
        <v>TRK100471</v>
      </c>
      <c r="B473" s="5" t="str">
        <f>TRIM(Raw_Data!B473)</f>
        <v>BlueDart</v>
      </c>
      <c r="C473" s="5" t="str">
        <f>TRIM(Raw_Data!C473)</f>
        <v>Metro</v>
      </c>
      <c r="D473" s="6">
        <f>DATEVALUE(TEXT(Raw_Data!D473, "YYYY-MM-DD"))</f>
        <v>46081</v>
      </c>
      <c r="E473" s="6">
        <f>IF(ISBLANK(Raw_Data!E473), "", DATEVALUE(TEXT(Raw_Data!E473, "YYYY-MM-DD")))</f>
        <v>46086</v>
      </c>
      <c r="F473" s="5">
        <f t="shared" si="1"/>
        <v>2</v>
      </c>
      <c r="G473" s="5">
        <f t="shared" si="2"/>
        <v>4</v>
      </c>
      <c r="H473" s="5" t="str">
        <f t="shared" si="3"/>
        <v>SLA BREACH</v>
      </c>
      <c r="I473" s="5">
        <f>Raw_Data!F473</f>
        <v>10079</v>
      </c>
      <c r="J473" s="5">
        <f t="shared" si="4"/>
        <v>503.95</v>
      </c>
    </row>
    <row r="474">
      <c r="A474" s="5" t="str">
        <f>Raw_Data!A474</f>
        <v>TRK100472</v>
      </c>
      <c r="B474" s="5" t="str">
        <f>TRIM(Raw_Data!B474)</f>
        <v>Delhivery</v>
      </c>
      <c r="C474" s="5" t="str">
        <f>TRIM(Raw_Data!C474)</f>
        <v>Tier 2</v>
      </c>
      <c r="D474" s="6">
        <f>DATEVALUE(TEXT(Raw_Data!D474, "YYYY-MM-DD"))</f>
        <v>46071</v>
      </c>
      <c r="E474" s="6">
        <f>IF(ISBLANK(Raw_Data!E474), "", DATEVALUE(TEXT(Raw_Data!E474, "YYYY-MM-DD")))</f>
        <v>46075</v>
      </c>
      <c r="F474" s="5">
        <f t="shared" si="1"/>
        <v>4</v>
      </c>
      <c r="G474" s="5">
        <f t="shared" si="2"/>
        <v>3</v>
      </c>
      <c r="H474" s="5" t="str">
        <f t="shared" si="3"/>
        <v>ON TIME</v>
      </c>
      <c r="I474" s="5">
        <f>Raw_Data!F474</f>
        <v>3953</v>
      </c>
      <c r="J474" s="5">
        <f t="shared" si="4"/>
        <v>0</v>
      </c>
    </row>
    <row r="475">
      <c r="A475" s="5" t="str">
        <f>Raw_Data!A475</f>
        <v>TRK100473</v>
      </c>
      <c r="B475" s="5" t="str">
        <f>TRIM(Raw_Data!B475)</f>
        <v>BlueDart</v>
      </c>
      <c r="C475" s="5" t="str">
        <f>TRIM(Raw_Data!C475)</f>
        <v>Metro</v>
      </c>
      <c r="D475" s="6">
        <f>DATEVALUE(TEXT(Raw_Data!D475, "YYYY-MM-DD"))</f>
        <v>46074</v>
      </c>
      <c r="E475" s="6">
        <f>IF(ISBLANK(Raw_Data!E475), "", DATEVALUE(TEXT(Raw_Data!E475, "YYYY-MM-DD")))</f>
        <v>46078</v>
      </c>
      <c r="F475" s="5">
        <f t="shared" si="1"/>
        <v>2</v>
      </c>
      <c r="G475" s="5">
        <f t="shared" si="2"/>
        <v>3</v>
      </c>
      <c r="H475" s="5" t="str">
        <f t="shared" si="3"/>
        <v>SLA BREACH</v>
      </c>
      <c r="I475" s="5">
        <f>Raw_Data!F475</f>
        <v>7175</v>
      </c>
      <c r="J475" s="5">
        <f t="shared" si="4"/>
        <v>358.75</v>
      </c>
    </row>
    <row r="476">
      <c r="A476" s="5" t="str">
        <f>Raw_Data!A476</f>
        <v>TRK100474</v>
      </c>
      <c r="B476" s="5" t="str">
        <f>TRIM(Raw_Data!B476)</f>
        <v>Delhivery</v>
      </c>
      <c r="C476" s="5" t="str">
        <f>TRIM(Raw_Data!C476)</f>
        <v>Metro</v>
      </c>
      <c r="D476" s="6">
        <f>DATEVALUE(TEXT(Raw_Data!D476, "YYYY-MM-DD"))</f>
        <v>46075</v>
      </c>
      <c r="E476" s="6">
        <f>IF(ISBLANK(Raw_Data!E476), "", DATEVALUE(TEXT(Raw_Data!E476, "YYYY-MM-DD")))</f>
        <v>46077</v>
      </c>
      <c r="F476" s="5">
        <f t="shared" si="1"/>
        <v>2</v>
      </c>
      <c r="G476" s="5">
        <f t="shared" si="2"/>
        <v>2</v>
      </c>
      <c r="H476" s="5" t="str">
        <f t="shared" si="3"/>
        <v>ON TIME</v>
      </c>
      <c r="I476" s="5">
        <f>Raw_Data!F476</f>
        <v>1455</v>
      </c>
      <c r="J476" s="5">
        <f t="shared" si="4"/>
        <v>0</v>
      </c>
    </row>
    <row r="477">
      <c r="A477" s="5" t="str">
        <f>Raw_Data!A477</f>
        <v>TRK100475</v>
      </c>
      <c r="B477" s="5" t="str">
        <f>TRIM(Raw_Data!B477)</f>
        <v>EcomExpress</v>
      </c>
      <c r="C477" s="5" t="str">
        <f>TRIM(Raw_Data!C477)</f>
        <v>Tier 3</v>
      </c>
      <c r="D477" s="6">
        <f>DATEVALUE(TEXT(Raw_Data!D477, "YYYY-MM-DD"))</f>
        <v>46071</v>
      </c>
      <c r="E477" s="6">
        <f>IF(ISBLANK(Raw_Data!E477), "", DATEVALUE(TEXT(Raw_Data!E477, "YYYY-MM-DD")))</f>
        <v>46082</v>
      </c>
      <c r="F477" s="5">
        <f t="shared" si="1"/>
        <v>6</v>
      </c>
      <c r="G477" s="5">
        <f t="shared" si="2"/>
        <v>8</v>
      </c>
      <c r="H477" s="5" t="str">
        <f t="shared" si="3"/>
        <v>SLA BREACH</v>
      </c>
      <c r="I477" s="5">
        <f>Raw_Data!F477</f>
        <v>6795</v>
      </c>
      <c r="J477" s="5">
        <f t="shared" si="4"/>
        <v>339.75</v>
      </c>
    </row>
    <row r="478">
      <c r="A478" s="5" t="str">
        <f>Raw_Data!A478</f>
        <v>TRK100476</v>
      </c>
      <c r="B478" s="5" t="str">
        <f>TRIM(Raw_Data!B478)</f>
        <v>Delhivery</v>
      </c>
      <c r="C478" s="5" t="str">
        <f>TRIM(Raw_Data!C478)</f>
        <v>Metro</v>
      </c>
      <c r="D478" s="6">
        <f>DATEVALUE(TEXT(Raw_Data!D478, "YYYY-MM-DD"))</f>
        <v>46066</v>
      </c>
      <c r="E478" s="6">
        <f>IF(ISBLANK(Raw_Data!E478), "", DATEVALUE(TEXT(Raw_Data!E478, "YYYY-MM-DD")))</f>
        <v>46068</v>
      </c>
      <c r="F478" s="5">
        <f t="shared" si="1"/>
        <v>2</v>
      </c>
      <c r="G478" s="5">
        <f t="shared" si="2"/>
        <v>1</v>
      </c>
      <c r="H478" s="5" t="str">
        <f t="shared" si="3"/>
        <v>ON TIME</v>
      </c>
      <c r="I478" s="5">
        <f>Raw_Data!F478</f>
        <v>2212</v>
      </c>
      <c r="J478" s="5">
        <f t="shared" si="4"/>
        <v>0</v>
      </c>
    </row>
    <row r="479">
      <c r="A479" s="5" t="str">
        <f>Raw_Data!A479</f>
        <v>TRK100477</v>
      </c>
      <c r="B479" s="5" t="str">
        <f>TRIM(Raw_Data!B479)</f>
        <v>EcomExpress</v>
      </c>
      <c r="C479" s="5" t="str">
        <f>TRIM(Raw_Data!C479)</f>
        <v>Metro</v>
      </c>
      <c r="D479" s="6">
        <f>DATEVALUE(TEXT(Raw_Data!D479, "YYYY-MM-DD"))</f>
        <v>46061</v>
      </c>
      <c r="E479" s="6">
        <f>IF(ISBLANK(Raw_Data!E479), "", DATEVALUE(TEXT(Raw_Data!E479, "YYYY-MM-DD")))</f>
        <v>46063</v>
      </c>
      <c r="F479" s="5">
        <f t="shared" si="1"/>
        <v>2</v>
      </c>
      <c r="G479" s="5">
        <f t="shared" si="2"/>
        <v>2</v>
      </c>
      <c r="H479" s="5" t="str">
        <f t="shared" si="3"/>
        <v>ON TIME</v>
      </c>
      <c r="I479" s="5">
        <f>Raw_Data!F479</f>
        <v>5203</v>
      </c>
      <c r="J479" s="5">
        <f t="shared" si="4"/>
        <v>0</v>
      </c>
    </row>
    <row r="480">
      <c r="A480" s="5" t="str">
        <f>Raw_Data!A480</f>
        <v>TRK100478</v>
      </c>
      <c r="B480" s="5" t="str">
        <f>TRIM(Raw_Data!B480)</f>
        <v>Delhivery</v>
      </c>
      <c r="C480" s="5" t="str">
        <f>TRIM(Raw_Data!C480)</f>
        <v>Tier 3</v>
      </c>
      <c r="D480" s="6">
        <f>DATEVALUE(TEXT(Raw_Data!D480, "YYYY-MM-DD"))</f>
        <v>46028</v>
      </c>
      <c r="E480" s="6">
        <f>IF(ISBLANK(Raw_Data!E480), "", DATEVALUE(TEXT(Raw_Data!E480, "YYYY-MM-DD")))</f>
        <v>46037</v>
      </c>
      <c r="F480" s="5">
        <f t="shared" si="1"/>
        <v>6</v>
      </c>
      <c r="G480" s="5">
        <f t="shared" si="2"/>
        <v>8</v>
      </c>
      <c r="H480" s="5" t="str">
        <f t="shared" si="3"/>
        <v>SLA BREACH</v>
      </c>
      <c r="I480" s="5">
        <f>Raw_Data!F480</f>
        <v>7063</v>
      </c>
      <c r="J480" s="5">
        <f t="shared" si="4"/>
        <v>353.15</v>
      </c>
    </row>
    <row r="481">
      <c r="A481" s="5" t="str">
        <f>Raw_Data!A481</f>
        <v>TRK100479</v>
      </c>
      <c r="B481" s="5" t="str">
        <f>TRIM(Raw_Data!B481)</f>
        <v>BlueDart</v>
      </c>
      <c r="C481" s="5" t="str">
        <f>TRIM(Raw_Data!C481)</f>
        <v>Metro</v>
      </c>
      <c r="D481" s="6">
        <f>DATEVALUE(TEXT(Raw_Data!D481, "YYYY-MM-DD"))</f>
        <v>46051</v>
      </c>
      <c r="E481" s="6">
        <f>IF(ISBLANK(Raw_Data!E481), "", DATEVALUE(TEXT(Raw_Data!E481, "YYYY-MM-DD")))</f>
        <v>46053</v>
      </c>
      <c r="F481" s="5">
        <f t="shared" si="1"/>
        <v>2</v>
      </c>
      <c r="G481" s="5">
        <f t="shared" si="2"/>
        <v>2</v>
      </c>
      <c r="H481" s="5" t="str">
        <f t="shared" si="3"/>
        <v>ON TIME</v>
      </c>
      <c r="I481" s="5">
        <f>Raw_Data!F481</f>
        <v>9965</v>
      </c>
      <c r="J481" s="5">
        <f t="shared" si="4"/>
        <v>0</v>
      </c>
    </row>
    <row r="482">
      <c r="A482" s="5" t="str">
        <f>Raw_Data!A482</f>
        <v>TRK100480</v>
      </c>
      <c r="B482" s="5" t="str">
        <f>TRIM(Raw_Data!B482)</f>
        <v>EcomExpress</v>
      </c>
      <c r="C482" s="5" t="str">
        <f>TRIM(Raw_Data!C482)</f>
        <v>Tier 3</v>
      </c>
      <c r="D482" s="6">
        <f>DATEVALUE(TEXT(Raw_Data!D482, "YYYY-MM-DD"))</f>
        <v>46068</v>
      </c>
      <c r="E482" s="6">
        <f>IF(ISBLANK(Raw_Data!E482), "", DATEVALUE(TEXT(Raw_Data!E482, "YYYY-MM-DD")))</f>
        <v>46074</v>
      </c>
      <c r="F482" s="5">
        <f t="shared" si="1"/>
        <v>6</v>
      </c>
      <c r="G482" s="5">
        <f t="shared" si="2"/>
        <v>5</v>
      </c>
      <c r="H482" s="5" t="str">
        <f t="shared" si="3"/>
        <v>ON TIME</v>
      </c>
      <c r="I482" s="5">
        <f>Raw_Data!F482</f>
        <v>6131</v>
      </c>
      <c r="J482" s="5">
        <f t="shared" si="4"/>
        <v>0</v>
      </c>
    </row>
    <row r="483">
      <c r="A483" s="5" t="str">
        <f>Raw_Data!A483</f>
        <v>TRK100481</v>
      </c>
      <c r="B483" s="5" t="str">
        <f>TRIM(Raw_Data!B483)</f>
        <v>BlueDart</v>
      </c>
      <c r="C483" s="5" t="str">
        <f>TRIM(Raw_Data!C483)</f>
        <v>Metro</v>
      </c>
      <c r="D483" s="6">
        <f>DATEVALUE(TEXT(Raw_Data!D483, "YYYY-MM-DD"))</f>
        <v>46027</v>
      </c>
      <c r="E483" s="6">
        <f>IF(ISBLANK(Raw_Data!E483), "", DATEVALUE(TEXT(Raw_Data!E483, "YYYY-MM-DD")))</f>
        <v>46029</v>
      </c>
      <c r="F483" s="5">
        <f t="shared" si="1"/>
        <v>2</v>
      </c>
      <c r="G483" s="5">
        <f t="shared" si="2"/>
        <v>3</v>
      </c>
      <c r="H483" s="5" t="str">
        <f t="shared" si="3"/>
        <v>SLA BREACH</v>
      </c>
      <c r="I483" s="5">
        <f>Raw_Data!F483</f>
        <v>11317</v>
      </c>
      <c r="J483" s="5">
        <f t="shared" si="4"/>
        <v>565.85</v>
      </c>
    </row>
    <row r="484">
      <c r="A484" s="5" t="str">
        <f>Raw_Data!A484</f>
        <v>TRK100482</v>
      </c>
      <c r="B484" s="5" t="str">
        <f>TRIM(Raw_Data!B484)</f>
        <v>EcomExpress</v>
      </c>
      <c r="C484" s="5" t="str">
        <f>TRIM(Raw_Data!C484)</f>
        <v>Metro</v>
      </c>
      <c r="D484" s="6">
        <f>DATEVALUE(TEXT(Raw_Data!D484, "YYYY-MM-DD"))</f>
        <v>46030</v>
      </c>
      <c r="E484" s="6">
        <f>IF(ISBLANK(Raw_Data!E484), "", DATEVALUE(TEXT(Raw_Data!E484, "YYYY-MM-DD")))</f>
        <v>46032</v>
      </c>
      <c r="F484" s="5">
        <f t="shared" si="1"/>
        <v>2</v>
      </c>
      <c r="G484" s="5">
        <f t="shared" si="2"/>
        <v>2</v>
      </c>
      <c r="H484" s="5" t="str">
        <f t="shared" si="3"/>
        <v>ON TIME</v>
      </c>
      <c r="I484" s="5">
        <f>Raw_Data!F484</f>
        <v>11074</v>
      </c>
      <c r="J484" s="5">
        <f t="shared" si="4"/>
        <v>0</v>
      </c>
    </row>
    <row r="485">
      <c r="A485" s="5" t="str">
        <f>Raw_Data!A485</f>
        <v>TRK100483</v>
      </c>
      <c r="B485" s="5" t="str">
        <f>TRIM(Raw_Data!B485)</f>
        <v>EcomExpress</v>
      </c>
      <c r="C485" s="5" t="str">
        <f>TRIM(Raw_Data!C485)</f>
        <v>Tier 2</v>
      </c>
      <c r="D485" s="6">
        <f>DATEVALUE(TEXT(Raw_Data!D485, "YYYY-MM-DD"))</f>
        <v>46076</v>
      </c>
      <c r="E485" s="6">
        <f>IF(ISBLANK(Raw_Data!E485), "", DATEVALUE(TEXT(Raw_Data!E485, "YYYY-MM-DD")))</f>
        <v>46080</v>
      </c>
      <c r="F485" s="5">
        <f t="shared" si="1"/>
        <v>4</v>
      </c>
      <c r="G485" s="5">
        <f t="shared" si="2"/>
        <v>5</v>
      </c>
      <c r="H485" s="5" t="str">
        <f t="shared" si="3"/>
        <v>SLA BREACH</v>
      </c>
      <c r="I485" s="5">
        <f>Raw_Data!F485</f>
        <v>10133</v>
      </c>
      <c r="J485" s="5">
        <f t="shared" si="4"/>
        <v>506.65</v>
      </c>
    </row>
    <row r="486">
      <c r="A486" s="5" t="str">
        <f>Raw_Data!A486</f>
        <v>TRK100484</v>
      </c>
      <c r="B486" s="5" t="str">
        <f>TRIM(Raw_Data!B486)</f>
        <v>Delhivery</v>
      </c>
      <c r="C486" s="5" t="str">
        <f>TRIM(Raw_Data!C486)</f>
        <v>Metro</v>
      </c>
      <c r="D486" s="6">
        <f>DATEVALUE(TEXT(Raw_Data!D486, "YYYY-MM-DD"))</f>
        <v>46080</v>
      </c>
      <c r="E486" s="6">
        <f>IF(ISBLANK(Raw_Data!E486), "", DATEVALUE(TEXT(Raw_Data!E486, "YYYY-MM-DD")))</f>
        <v>46082</v>
      </c>
      <c r="F486" s="5">
        <f t="shared" si="1"/>
        <v>2</v>
      </c>
      <c r="G486" s="5">
        <f t="shared" si="2"/>
        <v>1</v>
      </c>
      <c r="H486" s="5" t="str">
        <f t="shared" si="3"/>
        <v>ON TIME</v>
      </c>
      <c r="I486" s="5">
        <f>Raw_Data!F486</f>
        <v>11671</v>
      </c>
      <c r="J486" s="5">
        <f t="shared" si="4"/>
        <v>0</v>
      </c>
    </row>
    <row r="487">
      <c r="A487" s="5" t="str">
        <f>Raw_Data!A487</f>
        <v>TRK100485</v>
      </c>
      <c r="B487" s="5" t="str">
        <f>TRIM(Raw_Data!B487)</f>
        <v>Delhivery</v>
      </c>
      <c r="C487" s="5" t="str">
        <f>TRIM(Raw_Data!C487)</f>
        <v>Tier 3</v>
      </c>
      <c r="D487" s="6">
        <f>DATEVALUE(TEXT(Raw_Data!D487, "YYYY-MM-DD"))</f>
        <v>46035</v>
      </c>
      <c r="E487" s="6">
        <f>IF(ISBLANK(Raw_Data!E487), "", DATEVALUE(TEXT(Raw_Data!E487, "YYYY-MM-DD")))</f>
        <v>46043</v>
      </c>
      <c r="F487" s="5">
        <f t="shared" si="1"/>
        <v>6</v>
      </c>
      <c r="G487" s="5">
        <f t="shared" si="2"/>
        <v>7</v>
      </c>
      <c r="H487" s="5" t="str">
        <f t="shared" si="3"/>
        <v>SLA BREACH</v>
      </c>
      <c r="I487" s="5">
        <f>Raw_Data!F487</f>
        <v>10489</v>
      </c>
      <c r="J487" s="5">
        <f t="shared" si="4"/>
        <v>524.45</v>
      </c>
    </row>
    <row r="488">
      <c r="A488" s="5" t="str">
        <f>Raw_Data!A488</f>
        <v>TRK100486</v>
      </c>
      <c r="B488" s="5" t="str">
        <f>TRIM(Raw_Data!B488)</f>
        <v>Delhivery</v>
      </c>
      <c r="C488" s="5" t="str">
        <f>TRIM(Raw_Data!C488)</f>
        <v>Metro</v>
      </c>
      <c r="D488" s="6">
        <f>DATEVALUE(TEXT(Raw_Data!D488, "YYYY-MM-DD"))</f>
        <v>46057</v>
      </c>
      <c r="E488" s="6">
        <f>IF(ISBLANK(Raw_Data!E488), "", DATEVALUE(TEXT(Raw_Data!E488, "YYYY-MM-DD")))</f>
        <v>46059</v>
      </c>
      <c r="F488" s="5">
        <f t="shared" si="1"/>
        <v>2</v>
      </c>
      <c r="G488" s="5">
        <f t="shared" si="2"/>
        <v>3</v>
      </c>
      <c r="H488" s="5" t="str">
        <f t="shared" si="3"/>
        <v>SLA BREACH</v>
      </c>
      <c r="I488" s="5">
        <f>Raw_Data!F488</f>
        <v>1894</v>
      </c>
      <c r="J488" s="5">
        <f t="shared" si="4"/>
        <v>94.7</v>
      </c>
    </row>
    <row r="489">
      <c r="A489" s="5" t="str">
        <f>Raw_Data!A489</f>
        <v>TRK100487</v>
      </c>
      <c r="B489" s="5" t="str">
        <f>TRIM(Raw_Data!B489)</f>
        <v>Delhivery</v>
      </c>
      <c r="C489" s="5" t="str">
        <f>TRIM(Raw_Data!C489)</f>
        <v>Tier 2</v>
      </c>
      <c r="D489" s="6">
        <f>DATEVALUE(TEXT(Raw_Data!D489, "YYYY-MM-DD"))</f>
        <v>46033</v>
      </c>
      <c r="E489" s="6">
        <f>IF(ISBLANK(Raw_Data!E489), "", DATEVALUE(TEXT(Raw_Data!E489, "YYYY-MM-DD")))</f>
        <v>46037</v>
      </c>
      <c r="F489" s="5">
        <f t="shared" si="1"/>
        <v>4</v>
      </c>
      <c r="G489" s="5">
        <f t="shared" si="2"/>
        <v>4</v>
      </c>
      <c r="H489" s="5" t="str">
        <f t="shared" si="3"/>
        <v>ON TIME</v>
      </c>
      <c r="I489" s="5">
        <f>Raw_Data!F489</f>
        <v>9961</v>
      </c>
      <c r="J489" s="5">
        <f t="shared" si="4"/>
        <v>0</v>
      </c>
    </row>
    <row r="490">
      <c r="A490" s="5" t="str">
        <f>Raw_Data!A490</f>
        <v>TRK100488</v>
      </c>
      <c r="B490" s="5" t="str">
        <f>TRIM(Raw_Data!B490)</f>
        <v>BlueDart</v>
      </c>
      <c r="C490" s="5" t="str">
        <f>TRIM(Raw_Data!C490)</f>
        <v>Metro</v>
      </c>
      <c r="D490" s="6">
        <f>DATEVALUE(TEXT(Raw_Data!D490, "YYYY-MM-DD"))</f>
        <v>46077</v>
      </c>
      <c r="E490" s="6">
        <f>IF(ISBLANK(Raw_Data!E490), "", DATEVALUE(TEXT(Raw_Data!E490, "YYYY-MM-DD")))</f>
        <v>46082</v>
      </c>
      <c r="F490" s="5">
        <f t="shared" si="1"/>
        <v>2</v>
      </c>
      <c r="G490" s="5">
        <f t="shared" si="2"/>
        <v>4</v>
      </c>
      <c r="H490" s="5" t="str">
        <f t="shared" si="3"/>
        <v>SLA BREACH</v>
      </c>
      <c r="I490" s="5">
        <f>Raw_Data!F490</f>
        <v>5232</v>
      </c>
      <c r="J490" s="5">
        <f t="shared" si="4"/>
        <v>261.6</v>
      </c>
    </row>
    <row r="491">
      <c r="A491" s="5" t="str">
        <f>Raw_Data!A491</f>
        <v>TRK100489</v>
      </c>
      <c r="B491" s="5" t="str">
        <f>TRIM(Raw_Data!B491)</f>
        <v>Delhivery</v>
      </c>
      <c r="C491" s="5" t="str">
        <f>TRIM(Raw_Data!C491)</f>
        <v>Metro</v>
      </c>
      <c r="D491" s="6">
        <f>DATEVALUE(TEXT(Raw_Data!D491, "YYYY-MM-DD"))</f>
        <v>46051</v>
      </c>
      <c r="E491" s="6">
        <f>IF(ISBLANK(Raw_Data!E491), "", DATEVALUE(TEXT(Raw_Data!E491, "YYYY-MM-DD")))</f>
        <v>46055</v>
      </c>
      <c r="F491" s="5">
        <f t="shared" si="1"/>
        <v>2</v>
      </c>
      <c r="G491" s="5">
        <f t="shared" si="2"/>
        <v>3</v>
      </c>
      <c r="H491" s="5" t="str">
        <f t="shared" si="3"/>
        <v>SLA BREACH</v>
      </c>
      <c r="I491" s="5">
        <f>Raw_Data!F491</f>
        <v>4214</v>
      </c>
      <c r="J491" s="5">
        <f t="shared" si="4"/>
        <v>210.7</v>
      </c>
    </row>
    <row r="492">
      <c r="A492" s="5" t="str">
        <f>Raw_Data!A492</f>
        <v>TRK100490</v>
      </c>
      <c r="B492" s="5" t="str">
        <f>TRIM(Raw_Data!B492)</f>
        <v>Delhivery</v>
      </c>
      <c r="C492" s="5" t="str">
        <f>TRIM(Raw_Data!C492)</f>
        <v>Tier 3</v>
      </c>
      <c r="D492" s="6">
        <f>DATEVALUE(TEXT(Raw_Data!D492, "YYYY-MM-DD"))</f>
        <v>46066</v>
      </c>
      <c r="E492" s="6">
        <f>IF(ISBLANK(Raw_Data!E492), "", DATEVALUE(TEXT(Raw_Data!E492, "YYYY-MM-DD")))</f>
        <v>46072</v>
      </c>
      <c r="F492" s="5">
        <f t="shared" si="1"/>
        <v>6</v>
      </c>
      <c r="G492" s="5">
        <f t="shared" si="2"/>
        <v>5</v>
      </c>
      <c r="H492" s="5" t="str">
        <f t="shared" si="3"/>
        <v>ON TIME</v>
      </c>
      <c r="I492" s="5">
        <f>Raw_Data!F492</f>
        <v>1029</v>
      </c>
      <c r="J492" s="5">
        <f t="shared" si="4"/>
        <v>0</v>
      </c>
    </row>
    <row r="493">
      <c r="A493" s="5" t="str">
        <f>Raw_Data!A493</f>
        <v>TRK100491</v>
      </c>
      <c r="B493" s="5" t="str">
        <f>TRIM(Raw_Data!B493)</f>
        <v>EcomExpress</v>
      </c>
      <c r="C493" s="5" t="str">
        <f>TRIM(Raw_Data!C493)</f>
        <v>Tier 2</v>
      </c>
      <c r="D493" s="6">
        <f>DATEVALUE(TEXT(Raw_Data!D493, "YYYY-MM-DD"))</f>
        <v>46068</v>
      </c>
      <c r="E493" s="6">
        <f>IF(ISBLANK(Raw_Data!E493), "", DATEVALUE(TEXT(Raw_Data!E493, "YYYY-MM-DD")))</f>
        <v>46072</v>
      </c>
      <c r="F493" s="5">
        <f t="shared" si="1"/>
        <v>4</v>
      </c>
      <c r="G493" s="5">
        <f t="shared" si="2"/>
        <v>4</v>
      </c>
      <c r="H493" s="5" t="str">
        <f t="shared" si="3"/>
        <v>ON TIME</v>
      </c>
      <c r="I493" s="5">
        <f>Raw_Data!F493</f>
        <v>3458</v>
      </c>
      <c r="J493" s="5">
        <f t="shared" si="4"/>
        <v>0</v>
      </c>
    </row>
    <row r="494">
      <c r="A494" s="5" t="str">
        <f>Raw_Data!A494</f>
        <v>TRK100492</v>
      </c>
      <c r="B494" s="5" t="str">
        <f>TRIM(Raw_Data!B494)</f>
        <v>BlueDart</v>
      </c>
      <c r="C494" s="5" t="str">
        <f>TRIM(Raw_Data!C494)</f>
        <v>Metro</v>
      </c>
      <c r="D494" s="6">
        <f>DATEVALUE(TEXT(Raw_Data!D494, "YYYY-MM-DD"))</f>
        <v>46054</v>
      </c>
      <c r="E494" s="6">
        <f>IF(ISBLANK(Raw_Data!E494), "", DATEVALUE(TEXT(Raw_Data!E494, "YYYY-MM-DD")))</f>
        <v>46056</v>
      </c>
      <c r="F494" s="5">
        <f t="shared" si="1"/>
        <v>2</v>
      </c>
      <c r="G494" s="5">
        <f t="shared" si="2"/>
        <v>2</v>
      </c>
      <c r="H494" s="5" t="str">
        <f t="shared" si="3"/>
        <v>ON TIME</v>
      </c>
      <c r="I494" s="5">
        <f>Raw_Data!F494</f>
        <v>8404</v>
      </c>
      <c r="J494" s="5">
        <f t="shared" si="4"/>
        <v>0</v>
      </c>
    </row>
    <row r="495">
      <c r="A495" s="5" t="str">
        <f>Raw_Data!A495</f>
        <v>TRK100493</v>
      </c>
      <c r="B495" s="5" t="str">
        <f>TRIM(Raw_Data!B495)</f>
        <v>BlueDart</v>
      </c>
      <c r="C495" s="5" t="str">
        <f>TRIM(Raw_Data!C495)</f>
        <v>Metro</v>
      </c>
      <c r="D495" s="6">
        <f>DATEVALUE(TEXT(Raw_Data!D495, "YYYY-MM-DD"))</f>
        <v>46080</v>
      </c>
      <c r="E495" s="6">
        <f>IF(ISBLANK(Raw_Data!E495), "", DATEVALUE(TEXT(Raw_Data!E495, "YYYY-MM-DD")))</f>
        <v>46082</v>
      </c>
      <c r="F495" s="5">
        <f t="shared" si="1"/>
        <v>2</v>
      </c>
      <c r="G495" s="5">
        <f t="shared" si="2"/>
        <v>1</v>
      </c>
      <c r="H495" s="5" t="str">
        <f t="shared" si="3"/>
        <v>ON TIME</v>
      </c>
      <c r="I495" s="5">
        <f>Raw_Data!F495</f>
        <v>11606</v>
      </c>
      <c r="J495" s="5">
        <f t="shared" si="4"/>
        <v>0</v>
      </c>
    </row>
    <row r="496">
      <c r="A496" s="5" t="str">
        <f>Raw_Data!A496</f>
        <v>TRK100494</v>
      </c>
      <c r="B496" s="5" t="str">
        <f>TRIM(Raw_Data!B496)</f>
        <v>EcomExpress</v>
      </c>
      <c r="C496" s="5" t="str">
        <f>TRIM(Raw_Data!C496)</f>
        <v>Tier 3</v>
      </c>
      <c r="D496" s="6">
        <f>DATEVALUE(TEXT(Raw_Data!D496, "YYYY-MM-DD"))</f>
        <v>46051</v>
      </c>
      <c r="E496" s="6">
        <f>IF(ISBLANK(Raw_Data!E496), "", DATEVALUE(TEXT(Raw_Data!E496, "YYYY-MM-DD")))</f>
        <v>46057</v>
      </c>
      <c r="F496" s="5">
        <f t="shared" si="1"/>
        <v>6</v>
      </c>
      <c r="G496" s="5">
        <f t="shared" si="2"/>
        <v>5</v>
      </c>
      <c r="H496" s="5" t="str">
        <f t="shared" si="3"/>
        <v>ON TIME</v>
      </c>
      <c r="I496" s="5">
        <f>Raw_Data!F496</f>
        <v>4091</v>
      </c>
      <c r="J496" s="5">
        <f t="shared" si="4"/>
        <v>0</v>
      </c>
    </row>
    <row r="497">
      <c r="A497" s="5" t="str">
        <f>Raw_Data!A497</f>
        <v>TRK100495</v>
      </c>
      <c r="B497" s="5" t="str">
        <f>TRIM(Raw_Data!B497)</f>
        <v>EcomExpress</v>
      </c>
      <c r="C497" s="5" t="str">
        <f>TRIM(Raw_Data!C497)</f>
        <v>Metro</v>
      </c>
      <c r="D497" s="6">
        <f>DATEVALUE(TEXT(Raw_Data!D497, "YYYY-MM-DD"))</f>
        <v>46026</v>
      </c>
      <c r="E497" s="6">
        <f>IF(ISBLANK(Raw_Data!E497), "", DATEVALUE(TEXT(Raw_Data!E497, "YYYY-MM-DD")))</f>
        <v>46028</v>
      </c>
      <c r="F497" s="5">
        <f t="shared" si="1"/>
        <v>2</v>
      </c>
      <c r="G497" s="5">
        <f t="shared" si="2"/>
        <v>2</v>
      </c>
      <c r="H497" s="5" t="str">
        <f t="shared" si="3"/>
        <v>ON TIME</v>
      </c>
      <c r="I497" s="5">
        <f>Raw_Data!F497</f>
        <v>10839</v>
      </c>
      <c r="J497" s="5">
        <f t="shared" si="4"/>
        <v>0</v>
      </c>
    </row>
    <row r="498">
      <c r="A498" s="5" t="str">
        <f>Raw_Data!A498</f>
        <v>TRK100496</v>
      </c>
      <c r="B498" s="5" t="str">
        <f>TRIM(Raw_Data!B498)</f>
        <v>Delhivery</v>
      </c>
      <c r="C498" s="5" t="str">
        <f>TRIM(Raw_Data!C498)</f>
        <v>Metro</v>
      </c>
      <c r="D498" s="6">
        <f>DATEVALUE(TEXT(Raw_Data!D498, "YYYY-MM-DD"))</f>
        <v>46031</v>
      </c>
      <c r="E498" s="6">
        <f>IF(ISBLANK(Raw_Data!E498), "", DATEVALUE(TEXT(Raw_Data!E498, "YYYY-MM-DD")))</f>
        <v>46033</v>
      </c>
      <c r="F498" s="5">
        <f t="shared" si="1"/>
        <v>2</v>
      </c>
      <c r="G498" s="5">
        <f t="shared" si="2"/>
        <v>1</v>
      </c>
      <c r="H498" s="5" t="str">
        <f t="shared" si="3"/>
        <v>ON TIME</v>
      </c>
      <c r="I498" s="5">
        <f>Raw_Data!F498</f>
        <v>7395</v>
      </c>
      <c r="J498" s="5">
        <f t="shared" si="4"/>
        <v>0</v>
      </c>
    </row>
    <row r="499">
      <c r="A499" s="5" t="str">
        <f>Raw_Data!A499</f>
        <v>TRK100497</v>
      </c>
      <c r="B499" s="5" t="str">
        <f>TRIM(Raw_Data!B499)</f>
        <v>BlueDart</v>
      </c>
      <c r="C499" s="5" t="str">
        <f>TRIM(Raw_Data!C499)</f>
        <v>Metro</v>
      </c>
      <c r="D499" s="6">
        <f>DATEVALUE(TEXT(Raw_Data!D499, "YYYY-MM-DD"))</f>
        <v>46049</v>
      </c>
      <c r="E499" s="6">
        <f>IF(ISBLANK(Raw_Data!E499), "", DATEVALUE(TEXT(Raw_Data!E499, "YYYY-MM-DD")))</f>
        <v>46051</v>
      </c>
      <c r="F499" s="5">
        <f t="shared" si="1"/>
        <v>2</v>
      </c>
      <c r="G499" s="5">
        <f t="shared" si="2"/>
        <v>3</v>
      </c>
      <c r="H499" s="5" t="str">
        <f t="shared" si="3"/>
        <v>SLA BREACH</v>
      </c>
      <c r="I499" s="5">
        <f>Raw_Data!F499</f>
        <v>9631</v>
      </c>
      <c r="J499" s="5">
        <f t="shared" si="4"/>
        <v>481.55</v>
      </c>
    </row>
    <row r="500">
      <c r="A500" s="5" t="str">
        <f>Raw_Data!A500</f>
        <v>TRK100498</v>
      </c>
      <c r="B500" s="5" t="str">
        <f>TRIM(Raw_Data!B500)</f>
        <v>Delhivery</v>
      </c>
      <c r="C500" s="5" t="str">
        <f>TRIM(Raw_Data!C500)</f>
        <v>Tier 2</v>
      </c>
      <c r="D500" s="6">
        <f>DATEVALUE(TEXT(Raw_Data!D500, "YYYY-MM-DD"))</f>
        <v>46059</v>
      </c>
      <c r="E500" s="6">
        <f>IF(ISBLANK(Raw_Data!E500), "", DATEVALUE(TEXT(Raw_Data!E500, "YYYY-MM-DD")))</f>
        <v>46068</v>
      </c>
      <c r="F500" s="5">
        <f t="shared" si="1"/>
        <v>4</v>
      </c>
      <c r="G500" s="5">
        <f t="shared" si="2"/>
        <v>6</v>
      </c>
      <c r="H500" s="5" t="str">
        <f t="shared" si="3"/>
        <v>SLA BREACH</v>
      </c>
      <c r="I500" s="5">
        <f>Raw_Data!F500</f>
        <v>1025</v>
      </c>
      <c r="J500" s="5">
        <f t="shared" si="4"/>
        <v>51.25</v>
      </c>
    </row>
    <row r="501">
      <c r="A501" s="5" t="str">
        <f>Raw_Data!A501</f>
        <v>TRK100499</v>
      </c>
      <c r="B501" s="5" t="str">
        <f>TRIM(Raw_Data!B501)</f>
        <v>EcomExpress</v>
      </c>
      <c r="C501" s="5" t="str">
        <f>TRIM(Raw_Data!C501)</f>
        <v>Metro</v>
      </c>
      <c r="D501" s="6">
        <f>DATEVALUE(TEXT(Raw_Data!D501, "YYYY-MM-DD"))</f>
        <v>46058</v>
      </c>
      <c r="E501" s="6">
        <f>IF(ISBLANK(Raw_Data!E501), "", DATEVALUE(TEXT(Raw_Data!E501, "YYYY-MM-DD")))</f>
        <v>46065</v>
      </c>
      <c r="F501" s="5">
        <f t="shared" si="1"/>
        <v>2</v>
      </c>
      <c r="G501" s="5">
        <f t="shared" si="2"/>
        <v>6</v>
      </c>
      <c r="H501" s="5" t="str">
        <f t="shared" si="3"/>
        <v>SLA BREACH</v>
      </c>
      <c r="I501" s="5">
        <f>Raw_Data!F501</f>
        <v>6977</v>
      </c>
      <c r="J501" s="5">
        <f t="shared" si="4"/>
        <v>348.85</v>
      </c>
    </row>
    <row r="502">
      <c r="A502" s="5" t="str">
        <f>Raw_Data!A502</f>
        <v>TRK100500</v>
      </c>
      <c r="B502" s="5" t="str">
        <f>TRIM(Raw_Data!B502)</f>
        <v>Delhivery</v>
      </c>
      <c r="C502" s="5" t="str">
        <f>TRIM(Raw_Data!C502)</f>
        <v>Tier 3</v>
      </c>
      <c r="D502" s="6">
        <f>DATEVALUE(TEXT(Raw_Data!D502, "YYYY-MM-DD"))</f>
        <v>46066</v>
      </c>
      <c r="E502" s="6">
        <f>IF(ISBLANK(Raw_Data!E502), "", DATEVALUE(TEXT(Raw_Data!E502, "YYYY-MM-DD")))</f>
        <v>46072</v>
      </c>
      <c r="F502" s="5">
        <f t="shared" si="1"/>
        <v>6</v>
      </c>
      <c r="G502" s="5">
        <f t="shared" si="2"/>
        <v>5</v>
      </c>
      <c r="H502" s="5" t="str">
        <f t="shared" si="3"/>
        <v>ON TIME</v>
      </c>
      <c r="I502" s="5">
        <f>Raw_Data!F502</f>
        <v>501</v>
      </c>
      <c r="J502" s="5">
        <f t="shared" si="4"/>
        <v>0</v>
      </c>
    </row>
    <row r="503">
      <c r="A503" s="5" t="str">
        <f>Raw_Data!A503</f>
        <v>TRK100501</v>
      </c>
      <c r="B503" s="5" t="str">
        <f>TRIM(Raw_Data!B503)</f>
        <v>BlueDart</v>
      </c>
      <c r="C503" s="5" t="str">
        <f>TRIM(Raw_Data!C503)</f>
        <v>Tier 2</v>
      </c>
      <c r="D503" s="6">
        <f>DATEVALUE(TEXT(Raw_Data!D503, "YYYY-MM-DD"))</f>
        <v>46042</v>
      </c>
      <c r="E503" s="6">
        <f>IF(ISBLANK(Raw_Data!E503), "", DATEVALUE(TEXT(Raw_Data!E503, "YYYY-MM-DD")))</f>
        <v>46046</v>
      </c>
      <c r="F503" s="5">
        <f t="shared" si="1"/>
        <v>4</v>
      </c>
      <c r="G503" s="5">
        <f t="shared" si="2"/>
        <v>4</v>
      </c>
      <c r="H503" s="5" t="str">
        <f t="shared" si="3"/>
        <v>ON TIME</v>
      </c>
      <c r="I503" s="5">
        <f>Raw_Data!F503</f>
        <v>874</v>
      </c>
      <c r="J503" s="5">
        <f t="shared" si="4"/>
        <v>0</v>
      </c>
    </row>
    <row r="504">
      <c r="A504" s="5" t="str">
        <f>Raw_Data!A504</f>
        <v>TRK100502</v>
      </c>
      <c r="B504" s="5" t="str">
        <f>TRIM(Raw_Data!B504)</f>
        <v>Delhivery</v>
      </c>
      <c r="C504" s="5" t="str">
        <f>TRIM(Raw_Data!C504)</f>
        <v>Metro</v>
      </c>
      <c r="D504" s="6">
        <f>DATEVALUE(TEXT(Raw_Data!D504, "YYYY-MM-DD"))</f>
        <v>46024</v>
      </c>
      <c r="E504" s="6">
        <f>IF(ISBLANK(Raw_Data!E504), "", DATEVALUE(TEXT(Raw_Data!E504, "YYYY-MM-DD")))</f>
        <v>46026</v>
      </c>
      <c r="F504" s="5">
        <f t="shared" si="1"/>
        <v>2</v>
      </c>
      <c r="G504" s="5">
        <f t="shared" si="2"/>
        <v>1</v>
      </c>
      <c r="H504" s="5" t="str">
        <f t="shared" si="3"/>
        <v>ON TIME</v>
      </c>
      <c r="I504" s="5">
        <f>Raw_Data!F504</f>
        <v>11032</v>
      </c>
      <c r="J504" s="5">
        <f t="shared" si="4"/>
        <v>0</v>
      </c>
    </row>
    <row r="505">
      <c r="A505" s="5" t="str">
        <f>Raw_Data!A505</f>
        <v>TRK100503</v>
      </c>
      <c r="B505" s="5" t="str">
        <f>TRIM(Raw_Data!B505)</f>
        <v>BlueDart</v>
      </c>
      <c r="C505" s="5" t="str">
        <f>TRIM(Raw_Data!C505)</f>
        <v>Metro</v>
      </c>
      <c r="D505" s="6">
        <f>DATEVALUE(TEXT(Raw_Data!D505, "YYYY-MM-DD"))</f>
        <v>46039</v>
      </c>
      <c r="E505" s="6">
        <f>IF(ISBLANK(Raw_Data!E505), "", DATEVALUE(TEXT(Raw_Data!E505, "YYYY-MM-DD")))</f>
        <v>46042</v>
      </c>
      <c r="F505" s="5">
        <f t="shared" si="1"/>
        <v>2</v>
      </c>
      <c r="G505" s="5">
        <f t="shared" si="2"/>
        <v>2</v>
      </c>
      <c r="H505" s="5" t="str">
        <f t="shared" si="3"/>
        <v>ON TIME</v>
      </c>
      <c r="I505" s="5">
        <f>Raw_Data!F505</f>
        <v>11744</v>
      </c>
      <c r="J505" s="5">
        <f t="shared" si="4"/>
        <v>0</v>
      </c>
    </row>
    <row r="506">
      <c r="A506" s="5" t="str">
        <f>Raw_Data!A506</f>
        <v>TRK100504</v>
      </c>
      <c r="B506" s="5" t="str">
        <f>TRIM(Raw_Data!B506)</f>
        <v>Delhivery</v>
      </c>
      <c r="C506" s="5" t="str">
        <f>TRIM(Raw_Data!C506)</f>
        <v>Tier 2</v>
      </c>
      <c r="D506" s="6">
        <f>DATEVALUE(TEXT(Raw_Data!D506, "YYYY-MM-DD"))</f>
        <v>46070</v>
      </c>
      <c r="E506" s="6">
        <f>IF(ISBLANK(Raw_Data!E506), "", DATEVALUE(TEXT(Raw_Data!E506, "YYYY-MM-DD")))</f>
        <v>46074</v>
      </c>
      <c r="F506" s="5">
        <f t="shared" si="1"/>
        <v>4</v>
      </c>
      <c r="G506" s="5">
        <f t="shared" si="2"/>
        <v>4</v>
      </c>
      <c r="H506" s="5" t="str">
        <f t="shared" si="3"/>
        <v>ON TIME</v>
      </c>
      <c r="I506" s="5">
        <f>Raw_Data!F506</f>
        <v>5148</v>
      </c>
      <c r="J506" s="5">
        <f t="shared" si="4"/>
        <v>0</v>
      </c>
    </row>
    <row r="507">
      <c r="A507" s="5" t="str">
        <f>Raw_Data!A507</f>
        <v>TRK100505</v>
      </c>
      <c r="B507" s="5" t="str">
        <f>TRIM(Raw_Data!B507)</f>
        <v>Delhivery</v>
      </c>
      <c r="C507" s="5" t="str">
        <f>TRIM(Raw_Data!C507)</f>
        <v>Metro</v>
      </c>
      <c r="D507" s="6">
        <f>DATEVALUE(TEXT(Raw_Data!D507, "YYYY-MM-DD"))</f>
        <v>46060</v>
      </c>
      <c r="E507" s="6">
        <f>IF(ISBLANK(Raw_Data!E507), "", DATEVALUE(TEXT(Raw_Data!E507, "YYYY-MM-DD")))</f>
        <v>46062</v>
      </c>
      <c r="F507" s="5">
        <f t="shared" si="1"/>
        <v>2</v>
      </c>
      <c r="G507" s="5">
        <f t="shared" si="2"/>
        <v>1</v>
      </c>
      <c r="H507" s="5" t="str">
        <f t="shared" si="3"/>
        <v>ON TIME</v>
      </c>
      <c r="I507" s="5">
        <f>Raw_Data!F507</f>
        <v>2865</v>
      </c>
      <c r="J507" s="5">
        <f t="shared" si="4"/>
        <v>0</v>
      </c>
    </row>
    <row r="508">
      <c r="A508" s="5" t="str">
        <f>Raw_Data!A508</f>
        <v>TRK100506</v>
      </c>
      <c r="B508" s="5" t="str">
        <f>TRIM(Raw_Data!B508)</f>
        <v>BlueDart</v>
      </c>
      <c r="C508" s="5" t="str">
        <f>TRIM(Raw_Data!C508)</f>
        <v>Metro</v>
      </c>
      <c r="D508" s="6">
        <f>DATEVALUE(TEXT(Raw_Data!D508, "YYYY-MM-DD"))</f>
        <v>46025</v>
      </c>
      <c r="E508" s="6">
        <f>IF(ISBLANK(Raw_Data!E508), "", DATEVALUE(TEXT(Raw_Data!E508, "YYYY-MM-DD")))</f>
        <v>46029</v>
      </c>
      <c r="F508" s="5">
        <f t="shared" si="1"/>
        <v>2</v>
      </c>
      <c r="G508" s="5">
        <f t="shared" si="2"/>
        <v>3</v>
      </c>
      <c r="H508" s="5" t="str">
        <f t="shared" si="3"/>
        <v>SLA BREACH</v>
      </c>
      <c r="I508" s="5">
        <f>Raw_Data!F508</f>
        <v>2025</v>
      </c>
      <c r="J508" s="5">
        <f t="shared" si="4"/>
        <v>101.25</v>
      </c>
    </row>
    <row r="509">
      <c r="A509" s="5" t="str">
        <f>Raw_Data!A509</f>
        <v>TRK100507</v>
      </c>
      <c r="B509" s="5" t="str">
        <f>TRIM(Raw_Data!B509)</f>
        <v>BlueDart</v>
      </c>
      <c r="C509" s="5" t="str">
        <f>TRIM(Raw_Data!C509)</f>
        <v>Tier 3</v>
      </c>
      <c r="D509" s="6">
        <f>DATEVALUE(TEXT(Raw_Data!D509, "YYYY-MM-DD"))</f>
        <v>46045</v>
      </c>
      <c r="E509" s="6">
        <f>IF(ISBLANK(Raw_Data!E509), "", DATEVALUE(TEXT(Raw_Data!E509, "YYYY-MM-DD")))</f>
        <v>46053</v>
      </c>
      <c r="F509" s="5">
        <f t="shared" si="1"/>
        <v>6</v>
      </c>
      <c r="G509" s="5">
        <f t="shared" si="2"/>
        <v>6</v>
      </c>
      <c r="H509" s="5" t="str">
        <f t="shared" si="3"/>
        <v>ON TIME</v>
      </c>
      <c r="I509" s="5">
        <f>Raw_Data!F509</f>
        <v>2146</v>
      </c>
      <c r="J509" s="5">
        <f t="shared" si="4"/>
        <v>0</v>
      </c>
    </row>
    <row r="510">
      <c r="A510" s="5" t="str">
        <f>Raw_Data!A510</f>
        <v>TRK100508</v>
      </c>
      <c r="B510" s="5" t="str">
        <f>TRIM(Raw_Data!B510)</f>
        <v>BlueDart</v>
      </c>
      <c r="C510" s="5" t="str">
        <f>TRIM(Raw_Data!C510)</f>
        <v>Tier 2</v>
      </c>
      <c r="D510" s="6">
        <f>DATEVALUE(TEXT(Raw_Data!D510, "YYYY-MM-DD"))</f>
        <v>46027</v>
      </c>
      <c r="E510" s="6">
        <f>IF(ISBLANK(Raw_Data!E510), "", DATEVALUE(TEXT(Raw_Data!E510, "YYYY-MM-DD")))</f>
        <v>46034</v>
      </c>
      <c r="F510" s="5">
        <f t="shared" si="1"/>
        <v>4</v>
      </c>
      <c r="G510" s="5">
        <f t="shared" si="2"/>
        <v>6</v>
      </c>
      <c r="H510" s="5" t="str">
        <f t="shared" si="3"/>
        <v>SLA BREACH</v>
      </c>
      <c r="I510" s="5">
        <f>Raw_Data!F510</f>
        <v>513</v>
      </c>
      <c r="J510" s="5">
        <f t="shared" si="4"/>
        <v>25.65</v>
      </c>
    </row>
    <row r="511">
      <c r="A511" s="5" t="str">
        <f>Raw_Data!A511</f>
        <v>TRK100509</v>
      </c>
      <c r="B511" s="5" t="str">
        <f>TRIM(Raw_Data!B511)</f>
        <v>Delhivery</v>
      </c>
      <c r="C511" s="5" t="str">
        <f>TRIM(Raw_Data!C511)</f>
        <v>Tier 3</v>
      </c>
      <c r="D511" s="6">
        <f>DATEVALUE(TEXT(Raw_Data!D511, "YYYY-MM-DD"))</f>
        <v>46026</v>
      </c>
      <c r="E511" s="6" t="str">
        <f>IF(ISBLANK(Raw_Data!E511), "", DATEVALUE(TEXT(Raw_Data!E511, "YYYY-MM-DD")))</f>
        <v/>
      </c>
      <c r="F511" s="5">
        <f t="shared" si="1"/>
        <v>6</v>
      </c>
      <c r="G511" s="5" t="str">
        <f t="shared" si="2"/>
        <v>In-Transit</v>
      </c>
      <c r="H511" s="5" t="str">
        <f t="shared" si="3"/>
        <v>Pending</v>
      </c>
      <c r="I511" s="5">
        <f>Raw_Data!F511</f>
        <v>5099</v>
      </c>
      <c r="J511" s="5">
        <f t="shared" si="4"/>
        <v>0</v>
      </c>
    </row>
    <row r="512">
      <c r="A512" s="5" t="str">
        <f>Raw_Data!A512</f>
        <v>TRK100510</v>
      </c>
      <c r="B512" s="5" t="str">
        <f>TRIM(Raw_Data!B512)</f>
        <v>Delhivery</v>
      </c>
      <c r="C512" s="5" t="str">
        <f>TRIM(Raw_Data!C512)</f>
        <v>Metro</v>
      </c>
      <c r="D512" s="6">
        <f>DATEVALUE(TEXT(Raw_Data!D512, "YYYY-MM-DD"))</f>
        <v>46082</v>
      </c>
      <c r="E512" s="6">
        <f>IF(ISBLANK(Raw_Data!E512), "", DATEVALUE(TEXT(Raw_Data!E512, "YYYY-MM-DD")))</f>
        <v>46084</v>
      </c>
      <c r="F512" s="5">
        <f t="shared" si="1"/>
        <v>2</v>
      </c>
      <c r="G512" s="5">
        <f t="shared" si="2"/>
        <v>2</v>
      </c>
      <c r="H512" s="5" t="str">
        <f t="shared" si="3"/>
        <v>ON TIME</v>
      </c>
      <c r="I512" s="5">
        <f>Raw_Data!F512</f>
        <v>2778</v>
      </c>
      <c r="J512" s="5">
        <f t="shared" si="4"/>
        <v>0</v>
      </c>
    </row>
    <row r="513">
      <c r="A513" s="5" t="str">
        <f>Raw_Data!A513</f>
        <v>TRK100511</v>
      </c>
      <c r="B513" s="5" t="str">
        <f>TRIM(Raw_Data!B513)</f>
        <v>Delhivery</v>
      </c>
      <c r="C513" s="5" t="str">
        <f>TRIM(Raw_Data!C513)</f>
        <v>Tier 3</v>
      </c>
      <c r="D513" s="6">
        <f>DATEVALUE(TEXT(Raw_Data!D513, "YYYY-MM-DD"))</f>
        <v>46025</v>
      </c>
      <c r="E513" s="6">
        <f>IF(ISBLANK(Raw_Data!E513), "", DATEVALUE(TEXT(Raw_Data!E513, "YYYY-MM-DD")))</f>
        <v>46031</v>
      </c>
      <c r="F513" s="5">
        <f t="shared" si="1"/>
        <v>6</v>
      </c>
      <c r="G513" s="5">
        <f t="shared" si="2"/>
        <v>5</v>
      </c>
      <c r="H513" s="5" t="str">
        <f t="shared" si="3"/>
        <v>ON TIME</v>
      </c>
      <c r="I513" s="5">
        <f>Raw_Data!F513</f>
        <v>3655</v>
      </c>
      <c r="J513" s="5">
        <f t="shared" si="4"/>
        <v>0</v>
      </c>
    </row>
    <row r="514">
      <c r="A514" s="5" t="str">
        <f>Raw_Data!A514</f>
        <v>TRK100512</v>
      </c>
      <c r="B514" s="5" t="str">
        <f>TRIM(Raw_Data!B514)</f>
        <v>EcomExpress</v>
      </c>
      <c r="C514" s="5" t="str">
        <f>TRIM(Raw_Data!C514)</f>
        <v>Metro</v>
      </c>
      <c r="D514" s="6">
        <f>DATEVALUE(TEXT(Raw_Data!D514, "YYYY-MM-DD"))</f>
        <v>46049</v>
      </c>
      <c r="E514" s="6">
        <f>IF(ISBLANK(Raw_Data!E514), "", DATEVALUE(TEXT(Raw_Data!E514, "YYYY-MM-DD")))</f>
        <v>46054</v>
      </c>
      <c r="F514" s="5">
        <f t="shared" si="1"/>
        <v>2</v>
      </c>
      <c r="G514" s="5">
        <f t="shared" si="2"/>
        <v>4</v>
      </c>
      <c r="H514" s="5" t="str">
        <f t="shared" si="3"/>
        <v>SLA BREACH</v>
      </c>
      <c r="I514" s="5">
        <f>Raw_Data!F514</f>
        <v>8821</v>
      </c>
      <c r="J514" s="5">
        <f t="shared" si="4"/>
        <v>441.05</v>
      </c>
    </row>
    <row r="515">
      <c r="A515" s="5" t="str">
        <f>Raw_Data!A515</f>
        <v>TRK100513</v>
      </c>
      <c r="B515" s="5" t="str">
        <f>TRIM(Raw_Data!B515)</f>
        <v>Delhivery</v>
      </c>
      <c r="C515" s="5" t="str">
        <f>TRIM(Raw_Data!C515)</f>
        <v>Tier 2</v>
      </c>
      <c r="D515" s="6">
        <f>DATEVALUE(TEXT(Raw_Data!D515, "YYYY-MM-DD"))</f>
        <v>46072</v>
      </c>
      <c r="E515" s="6">
        <f>IF(ISBLANK(Raw_Data!E515), "", DATEVALUE(TEXT(Raw_Data!E515, "YYYY-MM-DD")))</f>
        <v>46078</v>
      </c>
      <c r="F515" s="5">
        <f t="shared" si="1"/>
        <v>4</v>
      </c>
      <c r="G515" s="5">
        <f t="shared" si="2"/>
        <v>5</v>
      </c>
      <c r="H515" s="5" t="str">
        <f t="shared" si="3"/>
        <v>SLA BREACH</v>
      </c>
      <c r="I515" s="5">
        <f>Raw_Data!F515</f>
        <v>4314</v>
      </c>
      <c r="J515" s="5">
        <f t="shared" si="4"/>
        <v>215.7</v>
      </c>
    </row>
    <row r="516">
      <c r="A516" s="5" t="str">
        <f>Raw_Data!A516</f>
        <v>TRK100514</v>
      </c>
      <c r="B516" s="5" t="str">
        <f>TRIM(Raw_Data!B516)</f>
        <v>BlueDart</v>
      </c>
      <c r="C516" s="5" t="str">
        <f>TRIM(Raw_Data!C516)</f>
        <v>Tier 2</v>
      </c>
      <c r="D516" s="6">
        <f>DATEVALUE(TEXT(Raw_Data!D516, "YYYY-MM-DD"))</f>
        <v>46072</v>
      </c>
      <c r="E516" s="6">
        <f>IF(ISBLANK(Raw_Data!E516), "", DATEVALUE(TEXT(Raw_Data!E516, "YYYY-MM-DD")))</f>
        <v>46076</v>
      </c>
      <c r="F516" s="5">
        <f t="shared" si="1"/>
        <v>4</v>
      </c>
      <c r="G516" s="5">
        <f t="shared" si="2"/>
        <v>3</v>
      </c>
      <c r="H516" s="5" t="str">
        <f t="shared" si="3"/>
        <v>ON TIME</v>
      </c>
      <c r="I516" s="5">
        <f>Raw_Data!F516</f>
        <v>3716</v>
      </c>
      <c r="J516" s="5">
        <f t="shared" si="4"/>
        <v>0</v>
      </c>
    </row>
    <row r="517">
      <c r="A517" s="5" t="str">
        <f>Raw_Data!A517</f>
        <v>TRK100515</v>
      </c>
      <c r="B517" s="5" t="str">
        <f>TRIM(Raw_Data!B517)</f>
        <v>BlueDart</v>
      </c>
      <c r="C517" s="5" t="str">
        <f>TRIM(Raw_Data!C517)</f>
        <v>Tier 2</v>
      </c>
      <c r="D517" s="6">
        <f>DATEVALUE(TEXT(Raw_Data!D517, "YYYY-MM-DD"))</f>
        <v>46069</v>
      </c>
      <c r="E517" s="6">
        <f>IF(ISBLANK(Raw_Data!E517), "", DATEVALUE(TEXT(Raw_Data!E517, "YYYY-MM-DD")))</f>
        <v>46073</v>
      </c>
      <c r="F517" s="5">
        <f t="shared" si="1"/>
        <v>4</v>
      </c>
      <c r="G517" s="5">
        <f t="shared" si="2"/>
        <v>5</v>
      </c>
      <c r="H517" s="5" t="str">
        <f t="shared" si="3"/>
        <v>SLA BREACH</v>
      </c>
      <c r="I517" s="5">
        <f>Raw_Data!F517</f>
        <v>11630</v>
      </c>
      <c r="J517" s="5">
        <f t="shared" si="4"/>
        <v>581.5</v>
      </c>
    </row>
    <row r="518">
      <c r="A518" s="5" t="str">
        <f>Raw_Data!A518</f>
        <v>TRK100516</v>
      </c>
      <c r="B518" s="5" t="str">
        <f>TRIM(Raw_Data!B518)</f>
        <v>BlueDart</v>
      </c>
      <c r="C518" s="5" t="str">
        <f>TRIM(Raw_Data!C518)</f>
        <v>Tier 3</v>
      </c>
      <c r="D518" s="6">
        <f>DATEVALUE(TEXT(Raw_Data!D518, "YYYY-MM-DD"))</f>
        <v>46049</v>
      </c>
      <c r="E518" s="6">
        <f>IF(ISBLANK(Raw_Data!E518), "", DATEVALUE(TEXT(Raw_Data!E518, "YYYY-MM-DD")))</f>
        <v>46055</v>
      </c>
      <c r="F518" s="5">
        <f t="shared" si="1"/>
        <v>6</v>
      </c>
      <c r="G518" s="5">
        <f t="shared" si="2"/>
        <v>5</v>
      </c>
      <c r="H518" s="5" t="str">
        <f t="shared" si="3"/>
        <v>ON TIME</v>
      </c>
      <c r="I518" s="5">
        <f>Raw_Data!F518</f>
        <v>10732</v>
      </c>
      <c r="J518" s="5">
        <f t="shared" si="4"/>
        <v>0</v>
      </c>
    </row>
    <row r="519">
      <c r="A519" s="5" t="str">
        <f>Raw_Data!A519</f>
        <v>TRK100517</v>
      </c>
      <c r="B519" s="5" t="str">
        <f>TRIM(Raw_Data!B519)</f>
        <v>Delhivery</v>
      </c>
      <c r="C519" s="5" t="str">
        <f>TRIM(Raw_Data!C519)</f>
        <v>Tier 3</v>
      </c>
      <c r="D519" s="6">
        <f>DATEVALUE(TEXT(Raw_Data!D519, "YYYY-MM-DD"))</f>
        <v>46080</v>
      </c>
      <c r="E519" s="6">
        <f>IF(ISBLANK(Raw_Data!E519), "", DATEVALUE(TEXT(Raw_Data!E519, "YYYY-MM-DD")))</f>
        <v>46087</v>
      </c>
      <c r="F519" s="5">
        <f t="shared" si="1"/>
        <v>6</v>
      </c>
      <c r="G519" s="5">
        <f t="shared" si="2"/>
        <v>6</v>
      </c>
      <c r="H519" s="5" t="str">
        <f t="shared" si="3"/>
        <v>ON TIME</v>
      </c>
      <c r="I519" s="5">
        <f>Raw_Data!F519</f>
        <v>8719</v>
      </c>
      <c r="J519" s="5">
        <f t="shared" si="4"/>
        <v>0</v>
      </c>
    </row>
    <row r="520">
      <c r="A520" s="5" t="str">
        <f>Raw_Data!A520</f>
        <v>TRK100518</v>
      </c>
      <c r="B520" s="5" t="str">
        <f>TRIM(Raw_Data!B520)</f>
        <v>BlueDart</v>
      </c>
      <c r="C520" s="5" t="str">
        <f>TRIM(Raw_Data!C520)</f>
        <v>Metro</v>
      </c>
      <c r="D520" s="6">
        <f>DATEVALUE(TEXT(Raw_Data!D520, "YYYY-MM-DD"))</f>
        <v>46051</v>
      </c>
      <c r="E520" s="6">
        <f>IF(ISBLANK(Raw_Data!E520), "", DATEVALUE(TEXT(Raw_Data!E520, "YYYY-MM-DD")))</f>
        <v>46058</v>
      </c>
      <c r="F520" s="5">
        <f t="shared" si="1"/>
        <v>2</v>
      </c>
      <c r="G520" s="5">
        <f t="shared" si="2"/>
        <v>6</v>
      </c>
      <c r="H520" s="5" t="str">
        <f t="shared" si="3"/>
        <v>SLA BREACH</v>
      </c>
      <c r="I520" s="5">
        <f>Raw_Data!F520</f>
        <v>2613</v>
      </c>
      <c r="J520" s="5">
        <f t="shared" si="4"/>
        <v>130.65</v>
      </c>
    </row>
    <row r="521">
      <c r="A521" s="5" t="str">
        <f>Raw_Data!A521</f>
        <v>TRK100519</v>
      </c>
      <c r="B521" s="5" t="str">
        <f>TRIM(Raw_Data!B521)</f>
        <v>BlueDart</v>
      </c>
      <c r="C521" s="5" t="str">
        <f>TRIM(Raw_Data!C521)</f>
        <v>Tier 2</v>
      </c>
      <c r="D521" s="6">
        <f>DATEVALUE(TEXT(Raw_Data!D521, "YYYY-MM-DD"))</f>
        <v>46047</v>
      </c>
      <c r="E521" s="6">
        <f>IF(ISBLANK(Raw_Data!E521), "", DATEVALUE(TEXT(Raw_Data!E521, "YYYY-MM-DD")))</f>
        <v>46051</v>
      </c>
      <c r="F521" s="5">
        <f t="shared" si="1"/>
        <v>4</v>
      </c>
      <c r="G521" s="5">
        <f t="shared" si="2"/>
        <v>4</v>
      </c>
      <c r="H521" s="5" t="str">
        <f t="shared" si="3"/>
        <v>ON TIME</v>
      </c>
      <c r="I521" s="5">
        <f>Raw_Data!F521</f>
        <v>9944</v>
      </c>
      <c r="J521" s="5">
        <f t="shared" si="4"/>
        <v>0</v>
      </c>
    </row>
    <row r="522">
      <c r="A522" s="5" t="str">
        <f>Raw_Data!A522</f>
        <v>TRK100520</v>
      </c>
      <c r="B522" s="5" t="str">
        <f>TRIM(Raw_Data!B522)</f>
        <v>EcomExpress</v>
      </c>
      <c r="C522" s="5" t="str">
        <f>TRIM(Raw_Data!C522)</f>
        <v>Tier 3</v>
      </c>
      <c r="D522" s="6">
        <f>DATEVALUE(TEXT(Raw_Data!D522, "YYYY-MM-DD"))</f>
        <v>46066</v>
      </c>
      <c r="E522" s="6">
        <f>IF(ISBLANK(Raw_Data!E522), "", DATEVALUE(TEXT(Raw_Data!E522, "YYYY-MM-DD")))</f>
        <v>46072</v>
      </c>
      <c r="F522" s="5">
        <f t="shared" si="1"/>
        <v>6</v>
      </c>
      <c r="G522" s="5">
        <f t="shared" si="2"/>
        <v>5</v>
      </c>
      <c r="H522" s="5" t="str">
        <f t="shared" si="3"/>
        <v>ON TIME</v>
      </c>
      <c r="I522" s="5">
        <f>Raw_Data!F522</f>
        <v>4856</v>
      </c>
      <c r="J522" s="5">
        <f t="shared" si="4"/>
        <v>0</v>
      </c>
    </row>
    <row r="523">
      <c r="A523" s="5" t="str">
        <f>Raw_Data!A523</f>
        <v>TRK100521</v>
      </c>
      <c r="B523" s="5" t="str">
        <f>TRIM(Raw_Data!B523)</f>
        <v>EcomExpress</v>
      </c>
      <c r="C523" s="5" t="str">
        <f>TRIM(Raw_Data!C523)</f>
        <v>Metro</v>
      </c>
      <c r="D523" s="6">
        <f>DATEVALUE(TEXT(Raw_Data!D523, "YYYY-MM-DD"))</f>
        <v>46078</v>
      </c>
      <c r="E523" s="6">
        <f>IF(ISBLANK(Raw_Data!E523), "", DATEVALUE(TEXT(Raw_Data!E523, "YYYY-MM-DD")))</f>
        <v>46080</v>
      </c>
      <c r="F523" s="5">
        <f t="shared" si="1"/>
        <v>2</v>
      </c>
      <c r="G523" s="5">
        <f t="shared" si="2"/>
        <v>3</v>
      </c>
      <c r="H523" s="5" t="str">
        <f t="shared" si="3"/>
        <v>SLA BREACH</v>
      </c>
      <c r="I523" s="5">
        <f>Raw_Data!F523</f>
        <v>10738</v>
      </c>
      <c r="J523" s="5">
        <f t="shared" si="4"/>
        <v>536.9</v>
      </c>
    </row>
    <row r="524">
      <c r="A524" s="5" t="str">
        <f>Raw_Data!A524</f>
        <v>TRK100522</v>
      </c>
      <c r="B524" s="5" t="str">
        <f>TRIM(Raw_Data!B524)</f>
        <v>BlueDart</v>
      </c>
      <c r="C524" s="5" t="str">
        <f>TRIM(Raw_Data!C524)</f>
        <v>Tier 3</v>
      </c>
      <c r="D524" s="6">
        <f>DATEVALUE(TEXT(Raw_Data!D524, "YYYY-MM-DD"))</f>
        <v>46031</v>
      </c>
      <c r="E524" s="6">
        <f>IF(ISBLANK(Raw_Data!E524), "", DATEVALUE(TEXT(Raw_Data!E524, "YYYY-MM-DD")))</f>
        <v>46040</v>
      </c>
      <c r="F524" s="5">
        <f t="shared" si="1"/>
        <v>6</v>
      </c>
      <c r="G524" s="5">
        <f t="shared" si="2"/>
        <v>6</v>
      </c>
      <c r="H524" s="5" t="str">
        <f t="shared" si="3"/>
        <v>ON TIME</v>
      </c>
      <c r="I524" s="5">
        <f>Raw_Data!F524</f>
        <v>6043</v>
      </c>
      <c r="J524" s="5">
        <f t="shared" si="4"/>
        <v>0</v>
      </c>
    </row>
    <row r="525">
      <c r="A525" s="5" t="str">
        <f>Raw_Data!A525</f>
        <v>TRK100523</v>
      </c>
      <c r="B525" s="5" t="str">
        <f>TRIM(Raw_Data!B525)</f>
        <v>EcomExpress</v>
      </c>
      <c r="C525" s="5" t="str">
        <f>TRIM(Raw_Data!C525)</f>
        <v>Metro</v>
      </c>
      <c r="D525" s="6">
        <f>DATEVALUE(TEXT(Raw_Data!D525, "YYYY-MM-DD"))</f>
        <v>46078</v>
      </c>
      <c r="E525" s="6">
        <f>IF(ISBLANK(Raw_Data!E525), "", DATEVALUE(TEXT(Raw_Data!E525, "YYYY-MM-DD")))</f>
        <v>46082</v>
      </c>
      <c r="F525" s="5">
        <f t="shared" si="1"/>
        <v>2</v>
      </c>
      <c r="G525" s="5">
        <f t="shared" si="2"/>
        <v>3</v>
      </c>
      <c r="H525" s="5" t="str">
        <f t="shared" si="3"/>
        <v>SLA BREACH</v>
      </c>
      <c r="I525" s="5">
        <f>Raw_Data!F525</f>
        <v>5055</v>
      </c>
      <c r="J525" s="5">
        <f t="shared" si="4"/>
        <v>252.75</v>
      </c>
    </row>
    <row r="526">
      <c r="A526" s="5" t="str">
        <f>Raw_Data!A526</f>
        <v>TRK100524</v>
      </c>
      <c r="B526" s="5" t="str">
        <f>TRIM(Raw_Data!B526)</f>
        <v>EcomExpress</v>
      </c>
      <c r="C526" s="5" t="str">
        <f>TRIM(Raw_Data!C526)</f>
        <v>Tier 3</v>
      </c>
      <c r="D526" s="6">
        <f>DATEVALUE(TEXT(Raw_Data!D526, "YYYY-MM-DD"))</f>
        <v>46030</v>
      </c>
      <c r="E526" s="6">
        <f>IF(ISBLANK(Raw_Data!E526), "", DATEVALUE(TEXT(Raw_Data!E526, "YYYY-MM-DD")))</f>
        <v>46038</v>
      </c>
      <c r="F526" s="5">
        <f t="shared" si="1"/>
        <v>6</v>
      </c>
      <c r="G526" s="5">
        <f t="shared" si="2"/>
        <v>7</v>
      </c>
      <c r="H526" s="5" t="str">
        <f t="shared" si="3"/>
        <v>SLA BREACH</v>
      </c>
      <c r="I526" s="5">
        <f>Raw_Data!F526</f>
        <v>7562</v>
      </c>
      <c r="J526" s="5">
        <f t="shared" si="4"/>
        <v>378.1</v>
      </c>
    </row>
    <row r="527">
      <c r="A527" s="5" t="str">
        <f>Raw_Data!A527</f>
        <v>TRK100525</v>
      </c>
      <c r="B527" s="5" t="str">
        <f>TRIM(Raw_Data!B527)</f>
        <v>BlueDart</v>
      </c>
      <c r="C527" s="5" t="str">
        <f>TRIM(Raw_Data!C527)</f>
        <v>Tier 3</v>
      </c>
      <c r="D527" s="6">
        <f>DATEVALUE(TEXT(Raw_Data!D527, "YYYY-MM-DD"))</f>
        <v>46057</v>
      </c>
      <c r="E527" s="6">
        <f>IF(ISBLANK(Raw_Data!E527), "", DATEVALUE(TEXT(Raw_Data!E527, "YYYY-MM-DD")))</f>
        <v>46063</v>
      </c>
      <c r="F527" s="5">
        <f t="shared" si="1"/>
        <v>6</v>
      </c>
      <c r="G527" s="5">
        <f t="shared" si="2"/>
        <v>5</v>
      </c>
      <c r="H527" s="5" t="str">
        <f t="shared" si="3"/>
        <v>ON TIME</v>
      </c>
      <c r="I527" s="5">
        <f>Raw_Data!F527</f>
        <v>3874</v>
      </c>
      <c r="J527" s="5">
        <f t="shared" si="4"/>
        <v>0</v>
      </c>
    </row>
    <row r="528">
      <c r="A528" s="5" t="str">
        <f>Raw_Data!A528</f>
        <v>TRK100526</v>
      </c>
      <c r="B528" s="5" t="str">
        <f>TRIM(Raw_Data!B528)</f>
        <v>Delhivery</v>
      </c>
      <c r="C528" s="5" t="str">
        <f>TRIM(Raw_Data!C528)</f>
        <v>Tier 3</v>
      </c>
      <c r="D528" s="6">
        <f>DATEVALUE(TEXT(Raw_Data!D528, "YYYY-MM-DD"))</f>
        <v>46056</v>
      </c>
      <c r="E528" s="6">
        <f>IF(ISBLANK(Raw_Data!E528), "", DATEVALUE(TEXT(Raw_Data!E528, "YYYY-MM-DD")))</f>
        <v>46062</v>
      </c>
      <c r="F528" s="5">
        <f t="shared" si="1"/>
        <v>6</v>
      </c>
      <c r="G528" s="5">
        <f t="shared" si="2"/>
        <v>5</v>
      </c>
      <c r="H528" s="5" t="str">
        <f t="shared" si="3"/>
        <v>ON TIME</v>
      </c>
      <c r="I528" s="5">
        <f>Raw_Data!F528</f>
        <v>6930</v>
      </c>
      <c r="J528" s="5">
        <f t="shared" si="4"/>
        <v>0</v>
      </c>
    </row>
    <row r="529">
      <c r="A529" s="5" t="str">
        <f>Raw_Data!A529</f>
        <v>TRK100527</v>
      </c>
      <c r="B529" s="5" t="str">
        <f>TRIM(Raw_Data!B529)</f>
        <v>Delhivery</v>
      </c>
      <c r="C529" s="5" t="str">
        <f>TRIM(Raw_Data!C529)</f>
        <v>Tier 2</v>
      </c>
      <c r="D529" s="6">
        <f>DATEVALUE(TEXT(Raw_Data!D529, "YYYY-MM-DD"))</f>
        <v>46069</v>
      </c>
      <c r="E529" s="6">
        <f>IF(ISBLANK(Raw_Data!E529), "", DATEVALUE(TEXT(Raw_Data!E529, "YYYY-MM-DD")))</f>
        <v>46073</v>
      </c>
      <c r="F529" s="5">
        <f t="shared" si="1"/>
        <v>4</v>
      </c>
      <c r="G529" s="5">
        <f t="shared" si="2"/>
        <v>5</v>
      </c>
      <c r="H529" s="5" t="str">
        <f t="shared" si="3"/>
        <v>SLA BREACH</v>
      </c>
      <c r="I529" s="5">
        <f>Raw_Data!F529</f>
        <v>3966</v>
      </c>
      <c r="J529" s="5">
        <f t="shared" si="4"/>
        <v>198.3</v>
      </c>
    </row>
    <row r="530">
      <c r="A530" s="5" t="str">
        <f>Raw_Data!A530</f>
        <v>TRK100528</v>
      </c>
      <c r="B530" s="5" t="str">
        <f>TRIM(Raw_Data!B530)</f>
        <v>BlueDart</v>
      </c>
      <c r="C530" s="5" t="str">
        <f>TRIM(Raw_Data!C530)</f>
        <v>Tier 2</v>
      </c>
      <c r="D530" s="6">
        <f>DATEVALUE(TEXT(Raw_Data!D530, "YYYY-MM-DD"))</f>
        <v>46076</v>
      </c>
      <c r="E530" s="6">
        <f>IF(ISBLANK(Raw_Data!E530), "", DATEVALUE(TEXT(Raw_Data!E530, "YYYY-MM-DD")))</f>
        <v>46080</v>
      </c>
      <c r="F530" s="5">
        <f t="shared" si="1"/>
        <v>4</v>
      </c>
      <c r="G530" s="5">
        <f t="shared" si="2"/>
        <v>5</v>
      </c>
      <c r="H530" s="5" t="str">
        <f t="shared" si="3"/>
        <v>SLA BREACH</v>
      </c>
      <c r="I530" s="5">
        <f>Raw_Data!F530</f>
        <v>3581</v>
      </c>
      <c r="J530" s="5">
        <f t="shared" si="4"/>
        <v>179.05</v>
      </c>
    </row>
    <row r="531">
      <c r="A531" s="5" t="str">
        <f>Raw_Data!A531</f>
        <v>TRK100529</v>
      </c>
      <c r="B531" s="5" t="str">
        <f>TRIM(Raw_Data!B531)</f>
        <v>Delhivery</v>
      </c>
      <c r="C531" s="5" t="str">
        <f>TRIM(Raw_Data!C531)</f>
        <v>Tier 3</v>
      </c>
      <c r="D531" s="6">
        <f>DATEVALUE(TEXT(Raw_Data!D531, "YYYY-MM-DD"))</f>
        <v>46071</v>
      </c>
      <c r="E531" s="6">
        <f>IF(ISBLANK(Raw_Data!E531), "", DATEVALUE(TEXT(Raw_Data!E531, "YYYY-MM-DD")))</f>
        <v>46079</v>
      </c>
      <c r="F531" s="5">
        <f t="shared" si="1"/>
        <v>6</v>
      </c>
      <c r="G531" s="5">
        <f t="shared" si="2"/>
        <v>7</v>
      </c>
      <c r="H531" s="5" t="str">
        <f t="shared" si="3"/>
        <v>SLA BREACH</v>
      </c>
      <c r="I531" s="5">
        <f>Raw_Data!F531</f>
        <v>1129</v>
      </c>
      <c r="J531" s="5">
        <f t="shared" si="4"/>
        <v>56.45</v>
      </c>
    </row>
    <row r="532">
      <c r="A532" s="5" t="str">
        <f>Raw_Data!A532</f>
        <v>TRK100530</v>
      </c>
      <c r="B532" s="5" t="str">
        <f>TRIM(Raw_Data!B532)</f>
        <v>EcomExpress</v>
      </c>
      <c r="C532" s="5" t="str">
        <f>TRIM(Raw_Data!C532)</f>
        <v>Metro</v>
      </c>
      <c r="D532" s="6">
        <f>DATEVALUE(TEXT(Raw_Data!D532, "YYYY-MM-DD"))</f>
        <v>46042</v>
      </c>
      <c r="E532" s="6">
        <f>IF(ISBLANK(Raw_Data!E532), "", DATEVALUE(TEXT(Raw_Data!E532, "YYYY-MM-DD")))</f>
        <v>46045</v>
      </c>
      <c r="F532" s="5">
        <f t="shared" si="1"/>
        <v>2</v>
      </c>
      <c r="G532" s="5">
        <f t="shared" si="2"/>
        <v>4</v>
      </c>
      <c r="H532" s="5" t="str">
        <f t="shared" si="3"/>
        <v>SLA BREACH</v>
      </c>
      <c r="I532" s="5">
        <f>Raw_Data!F532</f>
        <v>769</v>
      </c>
      <c r="J532" s="5">
        <f t="shared" si="4"/>
        <v>38.45</v>
      </c>
    </row>
    <row r="533">
      <c r="A533" s="5" t="str">
        <f>Raw_Data!A533</f>
        <v>TRK100531</v>
      </c>
      <c r="B533" s="5" t="str">
        <f>TRIM(Raw_Data!B533)</f>
        <v>BlueDart</v>
      </c>
      <c r="C533" s="5" t="str">
        <f>TRIM(Raw_Data!C533)</f>
        <v>Metro</v>
      </c>
      <c r="D533" s="6">
        <f>DATEVALUE(TEXT(Raw_Data!D533, "YYYY-MM-DD"))</f>
        <v>46066</v>
      </c>
      <c r="E533" s="6">
        <f>IF(ISBLANK(Raw_Data!E533), "", DATEVALUE(TEXT(Raw_Data!E533, "YYYY-MM-DD")))</f>
        <v>46073</v>
      </c>
      <c r="F533" s="5">
        <f t="shared" si="1"/>
        <v>2</v>
      </c>
      <c r="G533" s="5">
        <f t="shared" si="2"/>
        <v>6</v>
      </c>
      <c r="H533" s="5" t="str">
        <f t="shared" si="3"/>
        <v>SLA BREACH</v>
      </c>
      <c r="I533" s="5">
        <f>Raw_Data!F533</f>
        <v>11331</v>
      </c>
      <c r="J533" s="5">
        <f t="shared" si="4"/>
        <v>566.55</v>
      </c>
    </row>
    <row r="534">
      <c r="A534" s="5" t="str">
        <f>Raw_Data!A534</f>
        <v>TRK100532</v>
      </c>
      <c r="B534" s="5" t="str">
        <f>TRIM(Raw_Data!B534)</f>
        <v>Delhivery</v>
      </c>
      <c r="C534" s="5" t="str">
        <f>TRIM(Raw_Data!C534)</f>
        <v>Tier 2</v>
      </c>
      <c r="D534" s="6">
        <f>DATEVALUE(TEXT(Raw_Data!D534, "YYYY-MM-DD"))</f>
        <v>46057</v>
      </c>
      <c r="E534" s="6">
        <f>IF(ISBLANK(Raw_Data!E534), "", DATEVALUE(TEXT(Raw_Data!E534, "YYYY-MM-DD")))</f>
        <v>46066</v>
      </c>
      <c r="F534" s="5">
        <f t="shared" si="1"/>
        <v>4</v>
      </c>
      <c r="G534" s="5">
        <f t="shared" si="2"/>
        <v>8</v>
      </c>
      <c r="H534" s="5" t="str">
        <f t="shared" si="3"/>
        <v>SLA BREACH</v>
      </c>
      <c r="I534" s="5">
        <f>Raw_Data!F534</f>
        <v>10685</v>
      </c>
      <c r="J534" s="5">
        <f t="shared" si="4"/>
        <v>534.25</v>
      </c>
    </row>
    <row r="535">
      <c r="A535" s="5" t="str">
        <f>Raw_Data!A535</f>
        <v>TRK100533</v>
      </c>
      <c r="B535" s="5" t="str">
        <f>TRIM(Raw_Data!B535)</f>
        <v>Delhivery</v>
      </c>
      <c r="C535" s="5" t="str">
        <f>TRIM(Raw_Data!C535)</f>
        <v>Tier 2</v>
      </c>
      <c r="D535" s="6">
        <f>DATEVALUE(TEXT(Raw_Data!D535, "YYYY-MM-DD"))</f>
        <v>46057</v>
      </c>
      <c r="E535" s="6">
        <f>IF(ISBLANK(Raw_Data!E535), "", DATEVALUE(TEXT(Raw_Data!E535, "YYYY-MM-DD")))</f>
        <v>46061</v>
      </c>
      <c r="F535" s="5">
        <f t="shared" si="1"/>
        <v>4</v>
      </c>
      <c r="G535" s="5">
        <f t="shared" si="2"/>
        <v>3</v>
      </c>
      <c r="H535" s="5" t="str">
        <f t="shared" si="3"/>
        <v>ON TIME</v>
      </c>
      <c r="I535" s="5">
        <f>Raw_Data!F535</f>
        <v>6224</v>
      </c>
      <c r="J535" s="5">
        <f t="shared" si="4"/>
        <v>0</v>
      </c>
    </row>
    <row r="536">
      <c r="A536" s="5" t="str">
        <f>Raw_Data!A536</f>
        <v>TRK100534</v>
      </c>
      <c r="B536" s="5" t="str">
        <f>TRIM(Raw_Data!B536)</f>
        <v>EcomExpress</v>
      </c>
      <c r="C536" s="5" t="str">
        <f>TRIM(Raw_Data!C536)</f>
        <v>Tier 2</v>
      </c>
      <c r="D536" s="6">
        <f>DATEVALUE(TEXT(Raw_Data!D536, "YYYY-MM-DD"))</f>
        <v>46075</v>
      </c>
      <c r="E536" s="6">
        <f>IF(ISBLANK(Raw_Data!E536), "", DATEVALUE(TEXT(Raw_Data!E536, "YYYY-MM-DD")))</f>
        <v>46080</v>
      </c>
      <c r="F536" s="5">
        <f t="shared" si="1"/>
        <v>4</v>
      </c>
      <c r="G536" s="5">
        <f t="shared" si="2"/>
        <v>5</v>
      </c>
      <c r="H536" s="5" t="str">
        <f t="shared" si="3"/>
        <v>SLA BREACH</v>
      </c>
      <c r="I536" s="5">
        <f>Raw_Data!F536</f>
        <v>6397</v>
      </c>
      <c r="J536" s="5">
        <f t="shared" si="4"/>
        <v>319.85</v>
      </c>
    </row>
    <row r="537">
      <c r="A537" s="5" t="str">
        <f>Raw_Data!A537</f>
        <v>TRK100535</v>
      </c>
      <c r="B537" s="5" t="str">
        <f>TRIM(Raw_Data!B537)</f>
        <v>BlueDart</v>
      </c>
      <c r="C537" s="5" t="str">
        <f>TRIM(Raw_Data!C537)</f>
        <v>Tier 3</v>
      </c>
      <c r="D537" s="6">
        <f>DATEVALUE(TEXT(Raw_Data!D537, "YYYY-MM-DD"))</f>
        <v>46038</v>
      </c>
      <c r="E537" s="6" t="str">
        <f>IF(ISBLANK(Raw_Data!E537), "", DATEVALUE(TEXT(Raw_Data!E537, "YYYY-MM-DD")))</f>
        <v/>
      </c>
      <c r="F537" s="5">
        <f t="shared" si="1"/>
        <v>6</v>
      </c>
      <c r="G537" s="5" t="str">
        <f t="shared" si="2"/>
        <v>In-Transit</v>
      </c>
      <c r="H537" s="5" t="str">
        <f t="shared" si="3"/>
        <v>Pending</v>
      </c>
      <c r="I537" s="5">
        <f>Raw_Data!F537</f>
        <v>11583</v>
      </c>
      <c r="J537" s="5">
        <f t="shared" si="4"/>
        <v>0</v>
      </c>
    </row>
    <row r="538">
      <c r="A538" s="5" t="str">
        <f>Raw_Data!A538</f>
        <v>TRK100536</v>
      </c>
      <c r="B538" s="5" t="str">
        <f>TRIM(Raw_Data!B538)</f>
        <v>BlueDart</v>
      </c>
      <c r="C538" s="5" t="str">
        <f>TRIM(Raw_Data!C538)</f>
        <v>Metro</v>
      </c>
      <c r="D538" s="6">
        <f>DATEVALUE(TEXT(Raw_Data!D538, "YYYY-MM-DD"))</f>
        <v>46045</v>
      </c>
      <c r="E538" s="6" t="str">
        <f>IF(ISBLANK(Raw_Data!E538), "", DATEVALUE(TEXT(Raw_Data!E538, "YYYY-MM-DD")))</f>
        <v/>
      </c>
      <c r="F538" s="5">
        <f t="shared" si="1"/>
        <v>2</v>
      </c>
      <c r="G538" s="5" t="str">
        <f t="shared" si="2"/>
        <v>In-Transit</v>
      </c>
      <c r="H538" s="5" t="str">
        <f t="shared" si="3"/>
        <v>Pending</v>
      </c>
      <c r="I538" s="5">
        <f>Raw_Data!F538</f>
        <v>3932</v>
      </c>
      <c r="J538" s="5">
        <f t="shared" si="4"/>
        <v>0</v>
      </c>
    </row>
    <row r="539">
      <c r="A539" s="5" t="str">
        <f>Raw_Data!A539</f>
        <v>TRK100537</v>
      </c>
      <c r="B539" s="5" t="str">
        <f>TRIM(Raw_Data!B539)</f>
        <v>EcomExpress</v>
      </c>
      <c r="C539" s="5" t="str">
        <f>TRIM(Raw_Data!C539)</f>
        <v>Tier 2</v>
      </c>
      <c r="D539" s="6">
        <f>DATEVALUE(TEXT(Raw_Data!D539, "YYYY-MM-DD"))</f>
        <v>46040</v>
      </c>
      <c r="E539" s="6">
        <f>IF(ISBLANK(Raw_Data!E539), "", DATEVALUE(TEXT(Raw_Data!E539, "YYYY-MM-DD")))</f>
        <v>46044</v>
      </c>
      <c r="F539" s="5">
        <f t="shared" si="1"/>
        <v>4</v>
      </c>
      <c r="G539" s="5">
        <f t="shared" si="2"/>
        <v>4</v>
      </c>
      <c r="H539" s="5" t="str">
        <f t="shared" si="3"/>
        <v>ON TIME</v>
      </c>
      <c r="I539" s="5">
        <f>Raw_Data!F539</f>
        <v>9972</v>
      </c>
      <c r="J539" s="5">
        <f t="shared" si="4"/>
        <v>0</v>
      </c>
    </row>
    <row r="540">
      <c r="A540" s="5" t="str">
        <f>Raw_Data!A540</f>
        <v>TRK100538</v>
      </c>
      <c r="B540" s="5" t="str">
        <f>TRIM(Raw_Data!B540)</f>
        <v>BlueDart</v>
      </c>
      <c r="C540" s="5" t="str">
        <f>TRIM(Raw_Data!C540)</f>
        <v>Tier 3</v>
      </c>
      <c r="D540" s="6">
        <f>DATEVALUE(TEXT(Raw_Data!D540, "YYYY-MM-DD"))</f>
        <v>46082</v>
      </c>
      <c r="E540" s="6">
        <f>IF(ISBLANK(Raw_Data!E540), "", DATEVALUE(TEXT(Raw_Data!E540, "YYYY-MM-DD")))</f>
        <v>46088</v>
      </c>
      <c r="F540" s="5">
        <f t="shared" si="1"/>
        <v>6</v>
      </c>
      <c r="G540" s="5">
        <f t="shared" si="2"/>
        <v>5</v>
      </c>
      <c r="H540" s="5" t="str">
        <f t="shared" si="3"/>
        <v>ON TIME</v>
      </c>
      <c r="I540" s="5">
        <f>Raw_Data!F540</f>
        <v>6776</v>
      </c>
      <c r="J540" s="5">
        <f t="shared" si="4"/>
        <v>0</v>
      </c>
    </row>
    <row r="541">
      <c r="A541" s="5" t="str">
        <f>Raw_Data!A541</f>
        <v>TRK100539</v>
      </c>
      <c r="B541" s="5" t="str">
        <f>TRIM(Raw_Data!B541)</f>
        <v>BlueDart</v>
      </c>
      <c r="C541" s="5" t="str">
        <f>TRIM(Raw_Data!C541)</f>
        <v>Tier 2</v>
      </c>
      <c r="D541" s="6">
        <f>DATEVALUE(TEXT(Raw_Data!D541, "YYYY-MM-DD"))</f>
        <v>46071</v>
      </c>
      <c r="E541" s="6">
        <f>IF(ISBLANK(Raw_Data!E541), "", DATEVALUE(TEXT(Raw_Data!E541, "YYYY-MM-DD")))</f>
        <v>46075</v>
      </c>
      <c r="F541" s="5">
        <f t="shared" si="1"/>
        <v>4</v>
      </c>
      <c r="G541" s="5">
        <f t="shared" si="2"/>
        <v>3</v>
      </c>
      <c r="H541" s="5" t="str">
        <f t="shared" si="3"/>
        <v>ON TIME</v>
      </c>
      <c r="I541" s="5">
        <f>Raw_Data!F541</f>
        <v>6395</v>
      </c>
      <c r="J541" s="5">
        <f t="shared" si="4"/>
        <v>0</v>
      </c>
    </row>
    <row r="542">
      <c r="A542" s="5" t="str">
        <f>Raw_Data!A542</f>
        <v>TRK100540</v>
      </c>
      <c r="B542" s="5" t="str">
        <f>TRIM(Raw_Data!B542)</f>
        <v>EcomExpress</v>
      </c>
      <c r="C542" s="5" t="str">
        <f>TRIM(Raw_Data!C542)</f>
        <v>Metro</v>
      </c>
      <c r="D542" s="6">
        <f>DATEVALUE(TEXT(Raw_Data!D542, "YYYY-MM-DD"))</f>
        <v>46025</v>
      </c>
      <c r="E542" s="6">
        <f>IF(ISBLANK(Raw_Data!E542), "", DATEVALUE(TEXT(Raw_Data!E542, "YYYY-MM-DD")))</f>
        <v>46030</v>
      </c>
      <c r="F542" s="5">
        <f t="shared" si="1"/>
        <v>2</v>
      </c>
      <c r="G542" s="5">
        <f t="shared" si="2"/>
        <v>4</v>
      </c>
      <c r="H542" s="5" t="str">
        <f t="shared" si="3"/>
        <v>SLA BREACH</v>
      </c>
      <c r="I542" s="5">
        <f>Raw_Data!F542</f>
        <v>7615</v>
      </c>
      <c r="J542" s="5">
        <f t="shared" si="4"/>
        <v>380.75</v>
      </c>
    </row>
    <row r="543">
      <c r="A543" s="5" t="str">
        <f>Raw_Data!A543</f>
        <v>TRK100541</v>
      </c>
      <c r="B543" s="5" t="str">
        <f>TRIM(Raw_Data!B543)</f>
        <v>EcomExpress</v>
      </c>
      <c r="C543" s="5" t="str">
        <f>TRIM(Raw_Data!C543)</f>
        <v>Metro</v>
      </c>
      <c r="D543" s="6">
        <f>DATEVALUE(TEXT(Raw_Data!D543, "YYYY-MM-DD"))</f>
        <v>46065</v>
      </c>
      <c r="E543" s="6">
        <f>IF(ISBLANK(Raw_Data!E543), "", DATEVALUE(TEXT(Raw_Data!E543, "YYYY-MM-DD")))</f>
        <v>46067</v>
      </c>
      <c r="F543" s="5">
        <f t="shared" si="1"/>
        <v>2</v>
      </c>
      <c r="G543" s="5">
        <f t="shared" si="2"/>
        <v>2</v>
      </c>
      <c r="H543" s="5" t="str">
        <f t="shared" si="3"/>
        <v>ON TIME</v>
      </c>
      <c r="I543" s="5">
        <f>Raw_Data!F543</f>
        <v>7156</v>
      </c>
      <c r="J543" s="5">
        <f t="shared" si="4"/>
        <v>0</v>
      </c>
    </row>
    <row r="544">
      <c r="A544" s="5" t="str">
        <f>Raw_Data!A544</f>
        <v>TRK100542</v>
      </c>
      <c r="B544" s="5" t="str">
        <f>TRIM(Raw_Data!B544)</f>
        <v>Delhivery</v>
      </c>
      <c r="C544" s="5" t="str">
        <f>TRIM(Raw_Data!C544)</f>
        <v>Tier 2</v>
      </c>
      <c r="D544" s="6">
        <f>DATEVALUE(TEXT(Raw_Data!D544, "YYYY-MM-DD"))</f>
        <v>46062</v>
      </c>
      <c r="E544" s="6">
        <f>IF(ISBLANK(Raw_Data!E544), "", DATEVALUE(TEXT(Raw_Data!E544, "YYYY-MM-DD")))</f>
        <v>46066</v>
      </c>
      <c r="F544" s="5">
        <f t="shared" si="1"/>
        <v>4</v>
      </c>
      <c r="G544" s="5">
        <f t="shared" si="2"/>
        <v>5</v>
      </c>
      <c r="H544" s="5" t="str">
        <f t="shared" si="3"/>
        <v>SLA BREACH</v>
      </c>
      <c r="I544" s="5">
        <f>Raw_Data!F544</f>
        <v>11052</v>
      </c>
      <c r="J544" s="5">
        <f t="shared" si="4"/>
        <v>552.6</v>
      </c>
    </row>
    <row r="545">
      <c r="A545" s="5" t="str">
        <f>Raw_Data!A545</f>
        <v>TRK100543</v>
      </c>
      <c r="B545" s="5" t="str">
        <f>TRIM(Raw_Data!B545)</f>
        <v>BlueDart</v>
      </c>
      <c r="C545" s="5" t="str">
        <f>TRIM(Raw_Data!C545)</f>
        <v>Tier 3</v>
      </c>
      <c r="D545" s="6">
        <f>DATEVALUE(TEXT(Raw_Data!D545, "YYYY-MM-DD"))</f>
        <v>46082</v>
      </c>
      <c r="E545" s="6">
        <f>IF(ISBLANK(Raw_Data!E545), "", DATEVALUE(TEXT(Raw_Data!E545, "YYYY-MM-DD")))</f>
        <v>46088</v>
      </c>
      <c r="F545" s="5">
        <f t="shared" si="1"/>
        <v>6</v>
      </c>
      <c r="G545" s="5">
        <f t="shared" si="2"/>
        <v>5</v>
      </c>
      <c r="H545" s="5" t="str">
        <f t="shared" si="3"/>
        <v>ON TIME</v>
      </c>
      <c r="I545" s="5">
        <f>Raw_Data!F545</f>
        <v>1075</v>
      </c>
      <c r="J545" s="5">
        <f t="shared" si="4"/>
        <v>0</v>
      </c>
    </row>
    <row r="546">
      <c r="A546" s="5" t="str">
        <f>Raw_Data!A546</f>
        <v>TRK100544</v>
      </c>
      <c r="B546" s="5" t="str">
        <f>TRIM(Raw_Data!B546)</f>
        <v>EcomExpress</v>
      </c>
      <c r="C546" s="5" t="str">
        <f>TRIM(Raw_Data!C546)</f>
        <v>Metro</v>
      </c>
      <c r="D546" s="6">
        <f>DATEVALUE(TEXT(Raw_Data!D546, "YYYY-MM-DD"))</f>
        <v>46038</v>
      </c>
      <c r="E546" s="6">
        <f>IF(ISBLANK(Raw_Data!E546), "", DATEVALUE(TEXT(Raw_Data!E546, "YYYY-MM-DD")))</f>
        <v>46040</v>
      </c>
      <c r="F546" s="5">
        <f t="shared" si="1"/>
        <v>2</v>
      </c>
      <c r="G546" s="5">
        <f t="shared" si="2"/>
        <v>1</v>
      </c>
      <c r="H546" s="5" t="str">
        <f t="shared" si="3"/>
        <v>ON TIME</v>
      </c>
      <c r="I546" s="5">
        <f>Raw_Data!F546</f>
        <v>7529</v>
      </c>
      <c r="J546" s="5">
        <f t="shared" si="4"/>
        <v>0</v>
      </c>
    </row>
    <row r="547">
      <c r="A547" s="5" t="str">
        <f>Raw_Data!A547</f>
        <v>TRK100545</v>
      </c>
      <c r="B547" s="5" t="str">
        <f>TRIM(Raw_Data!B547)</f>
        <v>Delhivery</v>
      </c>
      <c r="C547" s="5" t="str">
        <f>TRIM(Raw_Data!C547)</f>
        <v>Metro</v>
      </c>
      <c r="D547" s="6">
        <f>DATEVALUE(TEXT(Raw_Data!D547, "YYYY-MM-DD"))</f>
        <v>46027</v>
      </c>
      <c r="E547" s="6">
        <f>IF(ISBLANK(Raw_Data!E547), "", DATEVALUE(TEXT(Raw_Data!E547, "YYYY-MM-DD")))</f>
        <v>46029</v>
      </c>
      <c r="F547" s="5">
        <f t="shared" si="1"/>
        <v>2</v>
      </c>
      <c r="G547" s="5">
        <f t="shared" si="2"/>
        <v>3</v>
      </c>
      <c r="H547" s="5" t="str">
        <f t="shared" si="3"/>
        <v>SLA BREACH</v>
      </c>
      <c r="I547" s="5">
        <f>Raw_Data!F547</f>
        <v>6599</v>
      </c>
      <c r="J547" s="5">
        <f t="shared" si="4"/>
        <v>329.95</v>
      </c>
    </row>
    <row r="548">
      <c r="A548" s="5" t="str">
        <f>Raw_Data!A548</f>
        <v>TRK100546</v>
      </c>
      <c r="B548" s="5" t="str">
        <f>TRIM(Raw_Data!B548)</f>
        <v>BlueDart</v>
      </c>
      <c r="C548" s="5" t="str">
        <f>TRIM(Raw_Data!C548)</f>
        <v>Metro</v>
      </c>
      <c r="D548" s="6">
        <f>DATEVALUE(TEXT(Raw_Data!D548, "YYYY-MM-DD"))</f>
        <v>46061</v>
      </c>
      <c r="E548" s="6">
        <f>IF(ISBLANK(Raw_Data!E548), "", DATEVALUE(TEXT(Raw_Data!E548, "YYYY-MM-DD")))</f>
        <v>46063</v>
      </c>
      <c r="F548" s="5">
        <f t="shared" si="1"/>
        <v>2</v>
      </c>
      <c r="G548" s="5">
        <f t="shared" si="2"/>
        <v>2</v>
      </c>
      <c r="H548" s="5" t="str">
        <f t="shared" si="3"/>
        <v>ON TIME</v>
      </c>
      <c r="I548" s="5">
        <f>Raw_Data!F548</f>
        <v>9999</v>
      </c>
      <c r="J548" s="5">
        <f t="shared" si="4"/>
        <v>0</v>
      </c>
    </row>
    <row r="549">
      <c r="A549" s="5" t="str">
        <f>Raw_Data!A549</f>
        <v>TRK100547</v>
      </c>
      <c r="B549" s="5" t="str">
        <f>TRIM(Raw_Data!B549)</f>
        <v>Delhivery</v>
      </c>
      <c r="C549" s="5" t="str">
        <f>TRIM(Raw_Data!C549)</f>
        <v>Tier 2</v>
      </c>
      <c r="D549" s="6">
        <f>DATEVALUE(TEXT(Raw_Data!D549, "YYYY-MM-DD"))</f>
        <v>46051</v>
      </c>
      <c r="E549" s="6">
        <f>IF(ISBLANK(Raw_Data!E549), "", DATEVALUE(TEXT(Raw_Data!E549, "YYYY-MM-DD")))</f>
        <v>46055</v>
      </c>
      <c r="F549" s="5">
        <f t="shared" si="1"/>
        <v>4</v>
      </c>
      <c r="G549" s="5">
        <f t="shared" si="2"/>
        <v>3</v>
      </c>
      <c r="H549" s="5" t="str">
        <f t="shared" si="3"/>
        <v>ON TIME</v>
      </c>
      <c r="I549" s="5">
        <f>Raw_Data!F549</f>
        <v>3692</v>
      </c>
      <c r="J549" s="5">
        <f t="shared" si="4"/>
        <v>0</v>
      </c>
    </row>
    <row r="550">
      <c r="A550" s="5" t="str">
        <f>Raw_Data!A550</f>
        <v>TRK100548</v>
      </c>
      <c r="B550" s="5" t="str">
        <f>TRIM(Raw_Data!B550)</f>
        <v>EcomExpress</v>
      </c>
      <c r="C550" s="5" t="str">
        <f>TRIM(Raw_Data!C550)</f>
        <v>Tier 3</v>
      </c>
      <c r="D550" s="6">
        <f>DATEVALUE(TEXT(Raw_Data!D550, "YYYY-MM-DD"))</f>
        <v>46066</v>
      </c>
      <c r="E550" s="6">
        <f>IF(ISBLANK(Raw_Data!E550), "", DATEVALUE(TEXT(Raw_Data!E550, "YYYY-MM-DD")))</f>
        <v>46072</v>
      </c>
      <c r="F550" s="5">
        <f t="shared" si="1"/>
        <v>6</v>
      </c>
      <c r="G550" s="5">
        <f t="shared" si="2"/>
        <v>5</v>
      </c>
      <c r="H550" s="5" t="str">
        <f t="shared" si="3"/>
        <v>ON TIME</v>
      </c>
      <c r="I550" s="5">
        <f>Raw_Data!F550</f>
        <v>3678</v>
      </c>
      <c r="J550" s="5">
        <f t="shared" si="4"/>
        <v>0</v>
      </c>
    </row>
    <row r="551">
      <c r="A551" s="5" t="str">
        <f>Raw_Data!A551</f>
        <v>TRK100549</v>
      </c>
      <c r="B551" s="5" t="str">
        <f>TRIM(Raw_Data!B551)</f>
        <v>BlueDart</v>
      </c>
      <c r="C551" s="5" t="str">
        <f>TRIM(Raw_Data!C551)</f>
        <v>Tier 3</v>
      </c>
      <c r="D551" s="6">
        <f>DATEVALUE(TEXT(Raw_Data!D551, "YYYY-MM-DD"))</f>
        <v>46078</v>
      </c>
      <c r="E551" s="6">
        <f>IF(ISBLANK(Raw_Data!E551), "", DATEVALUE(TEXT(Raw_Data!E551, "YYYY-MM-DD")))</f>
        <v>46085</v>
      </c>
      <c r="F551" s="5">
        <f t="shared" si="1"/>
        <v>6</v>
      </c>
      <c r="G551" s="5">
        <f t="shared" si="2"/>
        <v>6</v>
      </c>
      <c r="H551" s="5" t="str">
        <f t="shared" si="3"/>
        <v>ON TIME</v>
      </c>
      <c r="I551" s="5">
        <f>Raw_Data!F551</f>
        <v>6552</v>
      </c>
      <c r="J551" s="5">
        <f t="shared" si="4"/>
        <v>0</v>
      </c>
    </row>
    <row r="552">
      <c r="A552" s="5" t="str">
        <f>Raw_Data!A552</f>
        <v>TRK100550</v>
      </c>
      <c r="B552" s="5" t="str">
        <f>TRIM(Raw_Data!B552)</f>
        <v>Delhivery</v>
      </c>
      <c r="C552" s="5" t="str">
        <f>TRIM(Raw_Data!C552)</f>
        <v>Tier 3</v>
      </c>
      <c r="D552" s="6">
        <f>DATEVALUE(TEXT(Raw_Data!D552, "YYYY-MM-DD"))</f>
        <v>46038</v>
      </c>
      <c r="E552" s="6">
        <f>IF(ISBLANK(Raw_Data!E552), "", DATEVALUE(TEXT(Raw_Data!E552, "YYYY-MM-DD")))</f>
        <v>46044</v>
      </c>
      <c r="F552" s="5">
        <f t="shared" si="1"/>
        <v>6</v>
      </c>
      <c r="G552" s="5">
        <f t="shared" si="2"/>
        <v>5</v>
      </c>
      <c r="H552" s="5" t="str">
        <f t="shared" si="3"/>
        <v>ON TIME</v>
      </c>
      <c r="I552" s="5">
        <f>Raw_Data!F552</f>
        <v>3234</v>
      </c>
      <c r="J552" s="5">
        <f t="shared" si="4"/>
        <v>0</v>
      </c>
    </row>
    <row r="553">
      <c r="A553" s="5" t="str">
        <f>Raw_Data!A553</f>
        <v>TRK100551</v>
      </c>
      <c r="B553" s="5" t="str">
        <f>TRIM(Raw_Data!B553)</f>
        <v>EcomExpress</v>
      </c>
      <c r="C553" s="5" t="str">
        <f>TRIM(Raw_Data!C553)</f>
        <v>Tier 3</v>
      </c>
      <c r="D553" s="6">
        <f>DATEVALUE(TEXT(Raw_Data!D553, "YYYY-MM-DD"))</f>
        <v>46025</v>
      </c>
      <c r="E553" s="6" t="str">
        <f>IF(ISBLANK(Raw_Data!E553), "", DATEVALUE(TEXT(Raw_Data!E553, "YYYY-MM-DD")))</f>
        <v/>
      </c>
      <c r="F553" s="5">
        <f t="shared" si="1"/>
        <v>6</v>
      </c>
      <c r="G553" s="5" t="str">
        <f t="shared" si="2"/>
        <v>In-Transit</v>
      </c>
      <c r="H553" s="5" t="str">
        <f t="shared" si="3"/>
        <v>Pending</v>
      </c>
      <c r="I553" s="5">
        <f>Raw_Data!F553</f>
        <v>6616</v>
      </c>
      <c r="J553" s="5">
        <f t="shared" si="4"/>
        <v>0</v>
      </c>
    </row>
    <row r="554">
      <c r="A554" s="5" t="str">
        <f>Raw_Data!A554</f>
        <v>TRK100552</v>
      </c>
      <c r="B554" s="5" t="str">
        <f>TRIM(Raw_Data!B554)</f>
        <v>EcomExpress</v>
      </c>
      <c r="C554" s="5" t="str">
        <f>TRIM(Raw_Data!C554)</f>
        <v>Tier 3</v>
      </c>
      <c r="D554" s="6">
        <f>DATEVALUE(TEXT(Raw_Data!D554, "YYYY-MM-DD"))</f>
        <v>46051</v>
      </c>
      <c r="E554" s="6">
        <f>IF(ISBLANK(Raw_Data!E554), "", DATEVALUE(TEXT(Raw_Data!E554, "YYYY-MM-DD")))</f>
        <v>46057</v>
      </c>
      <c r="F554" s="5">
        <f t="shared" si="1"/>
        <v>6</v>
      </c>
      <c r="G554" s="5">
        <f t="shared" si="2"/>
        <v>5</v>
      </c>
      <c r="H554" s="5" t="str">
        <f t="shared" si="3"/>
        <v>ON TIME</v>
      </c>
      <c r="I554" s="5">
        <f>Raw_Data!F554</f>
        <v>10904</v>
      </c>
      <c r="J554" s="5">
        <f t="shared" si="4"/>
        <v>0</v>
      </c>
    </row>
    <row r="555">
      <c r="A555" s="5" t="str">
        <f>Raw_Data!A555</f>
        <v>TRK100553</v>
      </c>
      <c r="B555" s="5" t="str">
        <f>TRIM(Raw_Data!B555)</f>
        <v>EcomExpress</v>
      </c>
      <c r="C555" s="5" t="str">
        <f>TRIM(Raw_Data!C555)</f>
        <v>Tier 2</v>
      </c>
      <c r="D555" s="6">
        <f>DATEVALUE(TEXT(Raw_Data!D555, "YYYY-MM-DD"))</f>
        <v>46057</v>
      </c>
      <c r="E555" s="6">
        <f>IF(ISBLANK(Raw_Data!E555), "", DATEVALUE(TEXT(Raw_Data!E555, "YYYY-MM-DD")))</f>
        <v>46061</v>
      </c>
      <c r="F555" s="5">
        <f t="shared" si="1"/>
        <v>4</v>
      </c>
      <c r="G555" s="5">
        <f t="shared" si="2"/>
        <v>3</v>
      </c>
      <c r="H555" s="5" t="str">
        <f t="shared" si="3"/>
        <v>ON TIME</v>
      </c>
      <c r="I555" s="5">
        <f>Raw_Data!F555</f>
        <v>11044</v>
      </c>
      <c r="J555" s="5">
        <f t="shared" si="4"/>
        <v>0</v>
      </c>
    </row>
    <row r="556">
      <c r="A556" s="5" t="str">
        <f>Raw_Data!A556</f>
        <v>TRK100554</v>
      </c>
      <c r="B556" s="5" t="str">
        <f>TRIM(Raw_Data!B556)</f>
        <v>EcomExpress</v>
      </c>
      <c r="C556" s="5" t="str">
        <f>TRIM(Raw_Data!C556)</f>
        <v>Tier 2</v>
      </c>
      <c r="D556" s="6">
        <f>DATEVALUE(TEXT(Raw_Data!D556, "YYYY-MM-DD"))</f>
        <v>46071</v>
      </c>
      <c r="E556" s="6">
        <f>IF(ISBLANK(Raw_Data!E556), "", DATEVALUE(TEXT(Raw_Data!E556, "YYYY-MM-DD")))</f>
        <v>46077</v>
      </c>
      <c r="F556" s="5">
        <f t="shared" si="1"/>
        <v>4</v>
      </c>
      <c r="G556" s="5">
        <f t="shared" si="2"/>
        <v>5</v>
      </c>
      <c r="H556" s="5" t="str">
        <f t="shared" si="3"/>
        <v>SLA BREACH</v>
      </c>
      <c r="I556" s="5">
        <f>Raw_Data!F556</f>
        <v>4068</v>
      </c>
      <c r="J556" s="5">
        <f t="shared" si="4"/>
        <v>203.4</v>
      </c>
    </row>
    <row r="557">
      <c r="A557" s="5" t="str">
        <f>Raw_Data!A557</f>
        <v>TRK100555</v>
      </c>
      <c r="B557" s="5" t="str">
        <f>TRIM(Raw_Data!B557)</f>
        <v>EcomExpress</v>
      </c>
      <c r="C557" s="5" t="str">
        <f>TRIM(Raw_Data!C557)</f>
        <v>Tier 3</v>
      </c>
      <c r="D557" s="6">
        <f>DATEVALUE(TEXT(Raw_Data!D557, "YYYY-MM-DD"))</f>
        <v>46026</v>
      </c>
      <c r="E557" s="6">
        <f>IF(ISBLANK(Raw_Data!E557), "", DATEVALUE(TEXT(Raw_Data!E557, "YYYY-MM-DD")))</f>
        <v>46032</v>
      </c>
      <c r="F557" s="5">
        <f t="shared" si="1"/>
        <v>6</v>
      </c>
      <c r="G557" s="5">
        <f t="shared" si="2"/>
        <v>5</v>
      </c>
      <c r="H557" s="5" t="str">
        <f t="shared" si="3"/>
        <v>ON TIME</v>
      </c>
      <c r="I557" s="5">
        <f>Raw_Data!F557</f>
        <v>10347</v>
      </c>
      <c r="J557" s="5">
        <f t="shared" si="4"/>
        <v>0</v>
      </c>
    </row>
    <row r="558">
      <c r="A558" s="5" t="str">
        <f>Raw_Data!A558</f>
        <v>TRK100556</v>
      </c>
      <c r="B558" s="5" t="str">
        <f>TRIM(Raw_Data!B558)</f>
        <v>EcomExpress</v>
      </c>
      <c r="C558" s="5" t="str">
        <f>TRIM(Raw_Data!C558)</f>
        <v>Tier 3</v>
      </c>
      <c r="D558" s="6">
        <f>DATEVALUE(TEXT(Raw_Data!D558, "YYYY-MM-DD"))</f>
        <v>46055</v>
      </c>
      <c r="E558" s="6">
        <f>IF(ISBLANK(Raw_Data!E558), "", DATEVALUE(TEXT(Raw_Data!E558, "YYYY-MM-DD")))</f>
        <v>46061</v>
      </c>
      <c r="F558" s="5">
        <f t="shared" si="1"/>
        <v>6</v>
      </c>
      <c r="G558" s="5">
        <f t="shared" si="2"/>
        <v>5</v>
      </c>
      <c r="H558" s="5" t="str">
        <f t="shared" si="3"/>
        <v>ON TIME</v>
      </c>
      <c r="I558" s="5">
        <f>Raw_Data!F558</f>
        <v>10271</v>
      </c>
      <c r="J558" s="5">
        <f t="shared" si="4"/>
        <v>0</v>
      </c>
    </row>
    <row r="559">
      <c r="A559" s="5" t="str">
        <f>Raw_Data!A559</f>
        <v>TRK100557</v>
      </c>
      <c r="B559" s="5" t="str">
        <f>TRIM(Raw_Data!B559)</f>
        <v>EcomExpress</v>
      </c>
      <c r="C559" s="5" t="str">
        <f>TRIM(Raw_Data!C559)</f>
        <v>Tier 2</v>
      </c>
      <c r="D559" s="6">
        <f>DATEVALUE(TEXT(Raw_Data!D559, "YYYY-MM-DD"))</f>
        <v>46037</v>
      </c>
      <c r="E559" s="6">
        <f>IF(ISBLANK(Raw_Data!E559), "", DATEVALUE(TEXT(Raw_Data!E559, "YYYY-MM-DD")))</f>
        <v>46041</v>
      </c>
      <c r="F559" s="5">
        <f t="shared" si="1"/>
        <v>4</v>
      </c>
      <c r="G559" s="5">
        <f t="shared" si="2"/>
        <v>3</v>
      </c>
      <c r="H559" s="5" t="str">
        <f t="shared" si="3"/>
        <v>ON TIME</v>
      </c>
      <c r="I559" s="5">
        <f>Raw_Data!F559</f>
        <v>2703</v>
      </c>
      <c r="J559" s="5">
        <f t="shared" si="4"/>
        <v>0</v>
      </c>
    </row>
    <row r="560">
      <c r="A560" s="5" t="str">
        <f>Raw_Data!A560</f>
        <v>TRK100558</v>
      </c>
      <c r="B560" s="5" t="str">
        <f>TRIM(Raw_Data!B560)</f>
        <v>Delhivery</v>
      </c>
      <c r="C560" s="5" t="str">
        <f>TRIM(Raw_Data!C560)</f>
        <v>Tier 2</v>
      </c>
      <c r="D560" s="6">
        <f>DATEVALUE(TEXT(Raw_Data!D560, "YYYY-MM-DD"))</f>
        <v>46059</v>
      </c>
      <c r="E560" s="6">
        <f>IF(ISBLANK(Raw_Data!E560), "", DATEVALUE(TEXT(Raw_Data!E560, "YYYY-MM-DD")))</f>
        <v>46064</v>
      </c>
      <c r="F560" s="5">
        <f t="shared" si="1"/>
        <v>4</v>
      </c>
      <c r="G560" s="5">
        <f t="shared" si="2"/>
        <v>4</v>
      </c>
      <c r="H560" s="5" t="str">
        <f t="shared" si="3"/>
        <v>ON TIME</v>
      </c>
      <c r="I560" s="5">
        <f>Raw_Data!F560</f>
        <v>1890</v>
      </c>
      <c r="J560" s="5">
        <f t="shared" si="4"/>
        <v>0</v>
      </c>
    </row>
    <row r="561">
      <c r="A561" s="5" t="str">
        <f>Raw_Data!A561</f>
        <v>TRK100559</v>
      </c>
      <c r="B561" s="5" t="str">
        <f>TRIM(Raw_Data!B561)</f>
        <v>BlueDart</v>
      </c>
      <c r="C561" s="5" t="str">
        <f>TRIM(Raw_Data!C561)</f>
        <v>Tier 3</v>
      </c>
      <c r="D561" s="6">
        <f>DATEVALUE(TEXT(Raw_Data!D561, "YYYY-MM-DD"))</f>
        <v>46059</v>
      </c>
      <c r="E561" s="6">
        <f>IF(ISBLANK(Raw_Data!E561), "", DATEVALUE(TEXT(Raw_Data!E561, "YYYY-MM-DD")))</f>
        <v>46065</v>
      </c>
      <c r="F561" s="5">
        <f t="shared" si="1"/>
        <v>6</v>
      </c>
      <c r="G561" s="5">
        <f t="shared" si="2"/>
        <v>5</v>
      </c>
      <c r="H561" s="5" t="str">
        <f t="shared" si="3"/>
        <v>ON TIME</v>
      </c>
      <c r="I561" s="5">
        <f>Raw_Data!F561</f>
        <v>2242</v>
      </c>
      <c r="J561" s="5">
        <f t="shared" si="4"/>
        <v>0</v>
      </c>
    </row>
    <row r="562">
      <c r="A562" s="5" t="str">
        <f>Raw_Data!A562</f>
        <v>TRK100560</v>
      </c>
      <c r="B562" s="5" t="str">
        <f>TRIM(Raw_Data!B562)</f>
        <v>BlueDart</v>
      </c>
      <c r="C562" s="5" t="str">
        <f>TRIM(Raw_Data!C562)</f>
        <v>Tier 3</v>
      </c>
      <c r="D562" s="6">
        <f>DATEVALUE(TEXT(Raw_Data!D562, "YYYY-MM-DD"))</f>
        <v>46072</v>
      </c>
      <c r="E562" s="6">
        <f>IF(ISBLANK(Raw_Data!E562), "", DATEVALUE(TEXT(Raw_Data!E562, "YYYY-MM-DD")))</f>
        <v>46079</v>
      </c>
      <c r="F562" s="5">
        <f t="shared" si="1"/>
        <v>6</v>
      </c>
      <c r="G562" s="5">
        <f t="shared" si="2"/>
        <v>6</v>
      </c>
      <c r="H562" s="5" t="str">
        <f t="shared" si="3"/>
        <v>ON TIME</v>
      </c>
      <c r="I562" s="5">
        <f>Raw_Data!F562</f>
        <v>2425</v>
      </c>
      <c r="J562" s="5">
        <f t="shared" si="4"/>
        <v>0</v>
      </c>
    </row>
    <row r="563">
      <c r="A563" s="5" t="str">
        <f>Raw_Data!A563</f>
        <v>TRK100561</v>
      </c>
      <c r="B563" s="5" t="str">
        <f>TRIM(Raw_Data!B563)</f>
        <v>Delhivery</v>
      </c>
      <c r="C563" s="5" t="str">
        <f>TRIM(Raw_Data!C563)</f>
        <v>Tier 2</v>
      </c>
      <c r="D563" s="6">
        <f>DATEVALUE(TEXT(Raw_Data!D563, "YYYY-MM-DD"))</f>
        <v>46075</v>
      </c>
      <c r="E563" s="6">
        <f>IF(ISBLANK(Raw_Data!E563), "", DATEVALUE(TEXT(Raw_Data!E563, "YYYY-MM-DD")))</f>
        <v>46079</v>
      </c>
      <c r="F563" s="5">
        <f t="shared" si="1"/>
        <v>4</v>
      </c>
      <c r="G563" s="5">
        <f t="shared" si="2"/>
        <v>4</v>
      </c>
      <c r="H563" s="5" t="str">
        <f t="shared" si="3"/>
        <v>ON TIME</v>
      </c>
      <c r="I563" s="5">
        <f>Raw_Data!F563</f>
        <v>1119</v>
      </c>
      <c r="J563" s="5">
        <f t="shared" si="4"/>
        <v>0</v>
      </c>
    </row>
    <row r="564">
      <c r="A564" s="5" t="str">
        <f>Raw_Data!A564</f>
        <v>TRK100562</v>
      </c>
      <c r="B564" s="5" t="str">
        <f>TRIM(Raw_Data!B564)</f>
        <v>EcomExpress</v>
      </c>
      <c r="C564" s="5" t="str">
        <f>TRIM(Raw_Data!C564)</f>
        <v>Metro</v>
      </c>
      <c r="D564" s="6">
        <f>DATEVALUE(TEXT(Raw_Data!D564, "YYYY-MM-DD"))</f>
        <v>46038</v>
      </c>
      <c r="E564" s="6">
        <f>IF(ISBLANK(Raw_Data!E564), "", DATEVALUE(TEXT(Raw_Data!E564, "YYYY-MM-DD")))</f>
        <v>46040</v>
      </c>
      <c r="F564" s="5">
        <f t="shared" si="1"/>
        <v>2</v>
      </c>
      <c r="G564" s="5">
        <f t="shared" si="2"/>
        <v>1</v>
      </c>
      <c r="H564" s="5" t="str">
        <f t="shared" si="3"/>
        <v>ON TIME</v>
      </c>
      <c r="I564" s="5">
        <f>Raw_Data!F564</f>
        <v>1774</v>
      </c>
      <c r="J564" s="5">
        <f t="shared" si="4"/>
        <v>0</v>
      </c>
    </row>
    <row r="565">
      <c r="A565" s="5" t="str">
        <f>Raw_Data!A565</f>
        <v>TRK100563</v>
      </c>
      <c r="B565" s="5" t="str">
        <f>TRIM(Raw_Data!B565)</f>
        <v>BlueDart</v>
      </c>
      <c r="C565" s="5" t="str">
        <f>TRIM(Raw_Data!C565)</f>
        <v>Tier 3</v>
      </c>
      <c r="D565" s="6">
        <f>DATEVALUE(TEXT(Raw_Data!D565, "YYYY-MM-DD"))</f>
        <v>46079</v>
      </c>
      <c r="E565" s="6">
        <f>IF(ISBLANK(Raw_Data!E565), "", DATEVALUE(TEXT(Raw_Data!E565, "YYYY-MM-DD")))</f>
        <v>46085</v>
      </c>
      <c r="F565" s="5">
        <f t="shared" si="1"/>
        <v>6</v>
      </c>
      <c r="G565" s="5">
        <f t="shared" si="2"/>
        <v>5</v>
      </c>
      <c r="H565" s="5" t="str">
        <f t="shared" si="3"/>
        <v>ON TIME</v>
      </c>
      <c r="I565" s="5">
        <f>Raw_Data!F565</f>
        <v>1456</v>
      </c>
      <c r="J565" s="5">
        <f t="shared" si="4"/>
        <v>0</v>
      </c>
    </row>
    <row r="566">
      <c r="A566" s="5" t="str">
        <f>Raw_Data!A566</f>
        <v>TRK100564</v>
      </c>
      <c r="B566" s="5" t="str">
        <f>TRIM(Raw_Data!B566)</f>
        <v>EcomExpress</v>
      </c>
      <c r="C566" s="5" t="str">
        <f>TRIM(Raw_Data!C566)</f>
        <v>Metro</v>
      </c>
      <c r="D566" s="6">
        <f>DATEVALUE(TEXT(Raw_Data!D566, "YYYY-MM-DD"))</f>
        <v>46065</v>
      </c>
      <c r="E566" s="6" t="str">
        <f>IF(ISBLANK(Raw_Data!E566), "", DATEVALUE(TEXT(Raw_Data!E566, "YYYY-MM-DD")))</f>
        <v/>
      </c>
      <c r="F566" s="5">
        <f t="shared" si="1"/>
        <v>2</v>
      </c>
      <c r="G566" s="5" t="str">
        <f t="shared" si="2"/>
        <v>In-Transit</v>
      </c>
      <c r="H566" s="5" t="str">
        <f t="shared" si="3"/>
        <v>Pending</v>
      </c>
      <c r="I566" s="5">
        <f>Raw_Data!F566</f>
        <v>2439</v>
      </c>
      <c r="J566" s="5">
        <f t="shared" si="4"/>
        <v>0</v>
      </c>
    </row>
    <row r="567">
      <c r="A567" s="5" t="str">
        <f>Raw_Data!A567</f>
        <v>TRK100565</v>
      </c>
      <c r="B567" s="5" t="str">
        <f>TRIM(Raw_Data!B567)</f>
        <v>BlueDart</v>
      </c>
      <c r="C567" s="5" t="str">
        <f>TRIM(Raw_Data!C567)</f>
        <v>Tier 3</v>
      </c>
      <c r="D567" s="6">
        <f>DATEVALUE(TEXT(Raw_Data!D567, "YYYY-MM-DD"))</f>
        <v>46037</v>
      </c>
      <c r="E567" s="6">
        <f>IF(ISBLANK(Raw_Data!E567), "", DATEVALUE(TEXT(Raw_Data!E567, "YYYY-MM-DD")))</f>
        <v>46043</v>
      </c>
      <c r="F567" s="5">
        <f t="shared" si="1"/>
        <v>6</v>
      </c>
      <c r="G567" s="5">
        <f t="shared" si="2"/>
        <v>5</v>
      </c>
      <c r="H567" s="5" t="str">
        <f t="shared" si="3"/>
        <v>ON TIME</v>
      </c>
      <c r="I567" s="5">
        <f>Raw_Data!F567</f>
        <v>4453</v>
      </c>
      <c r="J567" s="5">
        <f t="shared" si="4"/>
        <v>0</v>
      </c>
    </row>
    <row r="568">
      <c r="A568" s="5" t="str">
        <f>Raw_Data!A568</f>
        <v>TRK100566</v>
      </c>
      <c r="B568" s="5" t="str">
        <f>TRIM(Raw_Data!B568)</f>
        <v>EcomExpress</v>
      </c>
      <c r="C568" s="5" t="str">
        <f>TRIM(Raw_Data!C568)</f>
        <v>Tier 3</v>
      </c>
      <c r="D568" s="6">
        <f>DATEVALUE(TEXT(Raw_Data!D568, "YYYY-MM-DD"))</f>
        <v>46042</v>
      </c>
      <c r="E568" s="6">
        <f>IF(ISBLANK(Raw_Data!E568), "", DATEVALUE(TEXT(Raw_Data!E568, "YYYY-MM-DD")))</f>
        <v>46048</v>
      </c>
      <c r="F568" s="5">
        <f t="shared" si="1"/>
        <v>6</v>
      </c>
      <c r="G568" s="5">
        <f t="shared" si="2"/>
        <v>5</v>
      </c>
      <c r="H568" s="5" t="str">
        <f t="shared" si="3"/>
        <v>ON TIME</v>
      </c>
      <c r="I568" s="5">
        <f>Raw_Data!F568</f>
        <v>11073</v>
      </c>
      <c r="J568" s="5">
        <f t="shared" si="4"/>
        <v>0</v>
      </c>
    </row>
    <row r="569">
      <c r="A569" s="5" t="str">
        <f>Raw_Data!A569</f>
        <v>TRK100567</v>
      </c>
      <c r="B569" s="5" t="str">
        <f>TRIM(Raw_Data!B569)</f>
        <v>Delhivery</v>
      </c>
      <c r="C569" s="5" t="str">
        <f>TRIM(Raw_Data!C569)</f>
        <v>Tier 3</v>
      </c>
      <c r="D569" s="6">
        <f>DATEVALUE(TEXT(Raw_Data!D569, "YYYY-MM-DD"))</f>
        <v>46026</v>
      </c>
      <c r="E569" s="6">
        <f>IF(ISBLANK(Raw_Data!E569), "", DATEVALUE(TEXT(Raw_Data!E569, "YYYY-MM-DD")))</f>
        <v>46032</v>
      </c>
      <c r="F569" s="5">
        <f t="shared" si="1"/>
        <v>6</v>
      </c>
      <c r="G569" s="5">
        <f t="shared" si="2"/>
        <v>5</v>
      </c>
      <c r="H569" s="5" t="str">
        <f t="shared" si="3"/>
        <v>ON TIME</v>
      </c>
      <c r="I569" s="5">
        <f>Raw_Data!F569</f>
        <v>1468</v>
      </c>
      <c r="J569" s="5">
        <f t="shared" si="4"/>
        <v>0</v>
      </c>
    </row>
    <row r="570">
      <c r="A570" s="5" t="str">
        <f>Raw_Data!A570</f>
        <v>TRK100568</v>
      </c>
      <c r="B570" s="5" t="str">
        <f>TRIM(Raw_Data!B570)</f>
        <v>EcomExpress</v>
      </c>
      <c r="C570" s="5" t="str">
        <f>TRIM(Raw_Data!C570)</f>
        <v>Tier 3</v>
      </c>
      <c r="D570" s="6">
        <f>DATEVALUE(TEXT(Raw_Data!D570, "YYYY-MM-DD"))</f>
        <v>46083</v>
      </c>
      <c r="E570" s="6">
        <f>IF(ISBLANK(Raw_Data!E570), "", DATEVALUE(TEXT(Raw_Data!E570, "YYYY-MM-DD")))</f>
        <v>46091</v>
      </c>
      <c r="F570" s="5">
        <f t="shared" si="1"/>
        <v>6</v>
      </c>
      <c r="G570" s="5">
        <f t="shared" si="2"/>
        <v>7</v>
      </c>
      <c r="H570" s="5" t="str">
        <f t="shared" si="3"/>
        <v>SLA BREACH</v>
      </c>
      <c r="I570" s="5">
        <f>Raw_Data!F570</f>
        <v>10008</v>
      </c>
      <c r="J570" s="5">
        <f t="shared" si="4"/>
        <v>500.4</v>
      </c>
    </row>
    <row r="571">
      <c r="A571" s="5" t="str">
        <f>Raw_Data!A571</f>
        <v>TRK100569</v>
      </c>
      <c r="B571" s="5" t="str">
        <f>TRIM(Raw_Data!B571)</f>
        <v>BlueDart</v>
      </c>
      <c r="C571" s="5" t="str">
        <f>TRIM(Raw_Data!C571)</f>
        <v>Metro</v>
      </c>
      <c r="D571" s="6">
        <f>DATEVALUE(TEXT(Raw_Data!D571, "YYYY-MM-DD"))</f>
        <v>46079</v>
      </c>
      <c r="E571" s="6">
        <f>IF(ISBLANK(Raw_Data!E571), "", DATEVALUE(TEXT(Raw_Data!E571, "YYYY-MM-DD")))</f>
        <v>46081</v>
      </c>
      <c r="F571" s="5">
        <f t="shared" si="1"/>
        <v>2</v>
      </c>
      <c r="G571" s="5">
        <f t="shared" si="2"/>
        <v>2</v>
      </c>
      <c r="H571" s="5" t="str">
        <f t="shared" si="3"/>
        <v>ON TIME</v>
      </c>
      <c r="I571" s="5">
        <f>Raw_Data!F571</f>
        <v>9735</v>
      </c>
      <c r="J571" s="5">
        <f t="shared" si="4"/>
        <v>0</v>
      </c>
    </row>
    <row r="572">
      <c r="A572" s="5" t="str">
        <f>Raw_Data!A572</f>
        <v>TRK100570</v>
      </c>
      <c r="B572" s="5" t="str">
        <f>TRIM(Raw_Data!B572)</f>
        <v>EcomExpress</v>
      </c>
      <c r="C572" s="5" t="str">
        <f>TRIM(Raw_Data!C572)</f>
        <v>Tier 2</v>
      </c>
      <c r="D572" s="6">
        <f>DATEVALUE(TEXT(Raw_Data!D572, "YYYY-MM-DD"))</f>
        <v>46081</v>
      </c>
      <c r="E572" s="6">
        <f>IF(ISBLANK(Raw_Data!E572), "", DATEVALUE(TEXT(Raw_Data!E572, "YYYY-MM-DD")))</f>
        <v>46085</v>
      </c>
      <c r="F572" s="5">
        <f t="shared" si="1"/>
        <v>4</v>
      </c>
      <c r="G572" s="5">
        <f t="shared" si="2"/>
        <v>3</v>
      </c>
      <c r="H572" s="5" t="str">
        <f t="shared" si="3"/>
        <v>ON TIME</v>
      </c>
      <c r="I572" s="5">
        <f>Raw_Data!F572</f>
        <v>781</v>
      </c>
      <c r="J572" s="5">
        <f t="shared" si="4"/>
        <v>0</v>
      </c>
    </row>
    <row r="573">
      <c r="A573" s="5" t="str">
        <f>Raw_Data!A573</f>
        <v>TRK100571</v>
      </c>
      <c r="B573" s="5" t="str">
        <f>TRIM(Raw_Data!B573)</f>
        <v>BlueDart</v>
      </c>
      <c r="C573" s="5" t="str">
        <f>TRIM(Raw_Data!C573)</f>
        <v>Tier 2</v>
      </c>
      <c r="D573" s="6">
        <f>DATEVALUE(TEXT(Raw_Data!D573, "YYYY-MM-DD"))</f>
        <v>46063</v>
      </c>
      <c r="E573" s="6">
        <f>IF(ISBLANK(Raw_Data!E573), "", DATEVALUE(TEXT(Raw_Data!E573, "YYYY-MM-DD")))</f>
        <v>46068</v>
      </c>
      <c r="F573" s="5">
        <f t="shared" si="1"/>
        <v>4</v>
      </c>
      <c r="G573" s="5">
        <f t="shared" si="2"/>
        <v>4</v>
      </c>
      <c r="H573" s="5" t="str">
        <f t="shared" si="3"/>
        <v>ON TIME</v>
      </c>
      <c r="I573" s="5">
        <f>Raw_Data!F573</f>
        <v>11536</v>
      </c>
      <c r="J573" s="5">
        <f t="shared" si="4"/>
        <v>0</v>
      </c>
    </row>
    <row r="574">
      <c r="A574" s="5" t="str">
        <f>Raw_Data!A574</f>
        <v>TRK100572</v>
      </c>
      <c r="B574" s="5" t="str">
        <f>TRIM(Raw_Data!B574)</f>
        <v>EcomExpress</v>
      </c>
      <c r="C574" s="5" t="str">
        <f>TRIM(Raw_Data!C574)</f>
        <v>Metro</v>
      </c>
      <c r="D574" s="6">
        <f>DATEVALUE(TEXT(Raw_Data!D574, "YYYY-MM-DD"))</f>
        <v>46050</v>
      </c>
      <c r="E574" s="6">
        <f>IF(ISBLANK(Raw_Data!E574), "", DATEVALUE(TEXT(Raw_Data!E574, "YYYY-MM-DD")))</f>
        <v>46052</v>
      </c>
      <c r="F574" s="5">
        <f t="shared" si="1"/>
        <v>2</v>
      </c>
      <c r="G574" s="5">
        <f t="shared" si="2"/>
        <v>3</v>
      </c>
      <c r="H574" s="5" t="str">
        <f t="shared" si="3"/>
        <v>SLA BREACH</v>
      </c>
      <c r="I574" s="5">
        <f>Raw_Data!F574</f>
        <v>6762</v>
      </c>
      <c r="J574" s="5">
        <f t="shared" si="4"/>
        <v>338.1</v>
      </c>
    </row>
    <row r="575">
      <c r="A575" s="5" t="str">
        <f>Raw_Data!A575</f>
        <v>TRK100573</v>
      </c>
      <c r="B575" s="5" t="str">
        <f>TRIM(Raw_Data!B575)</f>
        <v>BlueDart</v>
      </c>
      <c r="C575" s="5" t="str">
        <f>TRIM(Raw_Data!C575)</f>
        <v>Tier 2</v>
      </c>
      <c r="D575" s="6">
        <f>DATEVALUE(TEXT(Raw_Data!D575, "YYYY-MM-DD"))</f>
        <v>46054</v>
      </c>
      <c r="E575" s="6">
        <f>IF(ISBLANK(Raw_Data!E575), "", DATEVALUE(TEXT(Raw_Data!E575, "YYYY-MM-DD")))</f>
        <v>46058</v>
      </c>
      <c r="F575" s="5">
        <f t="shared" si="1"/>
        <v>4</v>
      </c>
      <c r="G575" s="5">
        <f t="shared" si="2"/>
        <v>4</v>
      </c>
      <c r="H575" s="5" t="str">
        <f t="shared" si="3"/>
        <v>ON TIME</v>
      </c>
      <c r="I575" s="5">
        <f>Raw_Data!F575</f>
        <v>1558</v>
      </c>
      <c r="J575" s="5">
        <f t="shared" si="4"/>
        <v>0</v>
      </c>
    </row>
    <row r="576">
      <c r="A576" s="5" t="str">
        <f>Raw_Data!A576</f>
        <v>TRK100574</v>
      </c>
      <c r="B576" s="5" t="str">
        <f>TRIM(Raw_Data!B576)</f>
        <v>BlueDart</v>
      </c>
      <c r="C576" s="5" t="str">
        <f>TRIM(Raw_Data!C576)</f>
        <v>Tier 2</v>
      </c>
      <c r="D576" s="6">
        <f>DATEVALUE(TEXT(Raw_Data!D576, "YYYY-MM-DD"))</f>
        <v>46045</v>
      </c>
      <c r="E576" s="6">
        <f>IF(ISBLANK(Raw_Data!E576), "", DATEVALUE(TEXT(Raw_Data!E576, "YYYY-MM-DD")))</f>
        <v>46051</v>
      </c>
      <c r="F576" s="5">
        <f t="shared" si="1"/>
        <v>4</v>
      </c>
      <c r="G576" s="5">
        <f t="shared" si="2"/>
        <v>5</v>
      </c>
      <c r="H576" s="5" t="str">
        <f t="shared" si="3"/>
        <v>SLA BREACH</v>
      </c>
      <c r="I576" s="5">
        <f>Raw_Data!F576</f>
        <v>4793</v>
      </c>
      <c r="J576" s="5">
        <f t="shared" si="4"/>
        <v>239.65</v>
      </c>
    </row>
    <row r="577">
      <c r="A577" s="5" t="str">
        <f>Raw_Data!A577</f>
        <v>TRK100575</v>
      </c>
      <c r="B577" s="5" t="str">
        <f>TRIM(Raw_Data!B577)</f>
        <v>BlueDart</v>
      </c>
      <c r="C577" s="5" t="str">
        <f>TRIM(Raw_Data!C577)</f>
        <v>Tier 2</v>
      </c>
      <c r="D577" s="6">
        <f>DATEVALUE(TEXT(Raw_Data!D577, "YYYY-MM-DD"))</f>
        <v>46065</v>
      </c>
      <c r="E577" s="6">
        <f>IF(ISBLANK(Raw_Data!E577), "", DATEVALUE(TEXT(Raw_Data!E577, "YYYY-MM-DD")))</f>
        <v>46072</v>
      </c>
      <c r="F577" s="5">
        <f t="shared" si="1"/>
        <v>4</v>
      </c>
      <c r="G577" s="5">
        <f t="shared" si="2"/>
        <v>6</v>
      </c>
      <c r="H577" s="5" t="str">
        <f t="shared" si="3"/>
        <v>SLA BREACH</v>
      </c>
      <c r="I577" s="5">
        <f>Raw_Data!F577</f>
        <v>11224</v>
      </c>
      <c r="J577" s="5">
        <f t="shared" si="4"/>
        <v>561.2</v>
      </c>
    </row>
    <row r="578">
      <c r="A578" s="5" t="str">
        <f>Raw_Data!A578</f>
        <v>TRK100576</v>
      </c>
      <c r="B578" s="5" t="str">
        <f>TRIM(Raw_Data!B578)</f>
        <v>EcomExpress</v>
      </c>
      <c r="C578" s="5" t="str">
        <f>TRIM(Raw_Data!C578)</f>
        <v>Tier 2</v>
      </c>
      <c r="D578" s="6">
        <f>DATEVALUE(TEXT(Raw_Data!D578, "YYYY-MM-DD"))</f>
        <v>46073</v>
      </c>
      <c r="E578" s="6">
        <f>IF(ISBLANK(Raw_Data!E578), "", DATEVALUE(TEXT(Raw_Data!E578, "YYYY-MM-DD")))</f>
        <v>46077</v>
      </c>
      <c r="F578" s="5">
        <f t="shared" si="1"/>
        <v>4</v>
      </c>
      <c r="G578" s="5">
        <f t="shared" si="2"/>
        <v>3</v>
      </c>
      <c r="H578" s="5" t="str">
        <f t="shared" si="3"/>
        <v>ON TIME</v>
      </c>
      <c r="I578" s="5">
        <f>Raw_Data!F578</f>
        <v>5678</v>
      </c>
      <c r="J578" s="5">
        <f t="shared" si="4"/>
        <v>0</v>
      </c>
    </row>
    <row r="579">
      <c r="A579" s="5" t="str">
        <f>Raw_Data!A579</f>
        <v>TRK100577</v>
      </c>
      <c r="B579" s="5" t="str">
        <f>TRIM(Raw_Data!B579)</f>
        <v>BlueDart</v>
      </c>
      <c r="C579" s="5" t="str">
        <f>TRIM(Raw_Data!C579)</f>
        <v>Tier 2</v>
      </c>
      <c r="D579" s="6">
        <f>DATEVALUE(TEXT(Raw_Data!D579, "YYYY-MM-DD"))</f>
        <v>46043</v>
      </c>
      <c r="E579" s="6">
        <f>IF(ISBLANK(Raw_Data!E579), "", DATEVALUE(TEXT(Raw_Data!E579, "YYYY-MM-DD")))</f>
        <v>46050</v>
      </c>
      <c r="F579" s="5">
        <f t="shared" si="1"/>
        <v>4</v>
      </c>
      <c r="G579" s="5">
        <f t="shared" si="2"/>
        <v>6</v>
      </c>
      <c r="H579" s="5" t="str">
        <f t="shared" si="3"/>
        <v>SLA BREACH</v>
      </c>
      <c r="I579" s="5">
        <f>Raw_Data!F579</f>
        <v>7480</v>
      </c>
      <c r="J579" s="5">
        <f t="shared" si="4"/>
        <v>374</v>
      </c>
    </row>
    <row r="580">
      <c r="A580" s="5" t="str">
        <f>Raw_Data!A580</f>
        <v>TRK100578</v>
      </c>
      <c r="B580" s="5" t="str">
        <f>TRIM(Raw_Data!B580)</f>
        <v>EcomExpress</v>
      </c>
      <c r="C580" s="5" t="str">
        <f>TRIM(Raw_Data!C580)</f>
        <v>Tier 3</v>
      </c>
      <c r="D580" s="6">
        <f>DATEVALUE(TEXT(Raw_Data!D580, "YYYY-MM-DD"))</f>
        <v>46049</v>
      </c>
      <c r="E580" s="6">
        <f>IF(ISBLANK(Raw_Data!E580), "", DATEVALUE(TEXT(Raw_Data!E580, "YYYY-MM-DD")))</f>
        <v>46055</v>
      </c>
      <c r="F580" s="5">
        <f t="shared" si="1"/>
        <v>6</v>
      </c>
      <c r="G580" s="5">
        <f t="shared" si="2"/>
        <v>5</v>
      </c>
      <c r="H580" s="5" t="str">
        <f t="shared" si="3"/>
        <v>ON TIME</v>
      </c>
      <c r="I580" s="5">
        <f>Raw_Data!F580</f>
        <v>9700</v>
      </c>
      <c r="J580" s="5">
        <f t="shared" si="4"/>
        <v>0</v>
      </c>
    </row>
    <row r="581">
      <c r="A581" s="5" t="str">
        <f>Raw_Data!A581</f>
        <v>TRK100579</v>
      </c>
      <c r="B581" s="5" t="str">
        <f>TRIM(Raw_Data!B581)</f>
        <v>Delhivery</v>
      </c>
      <c r="C581" s="5" t="str">
        <f>TRIM(Raw_Data!C581)</f>
        <v>Metro</v>
      </c>
      <c r="D581" s="6">
        <f>DATEVALUE(TEXT(Raw_Data!D581, "YYYY-MM-DD"))</f>
        <v>46032</v>
      </c>
      <c r="E581" s="6">
        <f>IF(ISBLANK(Raw_Data!E581), "", DATEVALUE(TEXT(Raw_Data!E581, "YYYY-MM-DD")))</f>
        <v>46034</v>
      </c>
      <c r="F581" s="5">
        <f t="shared" si="1"/>
        <v>2</v>
      </c>
      <c r="G581" s="5">
        <f t="shared" si="2"/>
        <v>1</v>
      </c>
      <c r="H581" s="5" t="str">
        <f t="shared" si="3"/>
        <v>ON TIME</v>
      </c>
      <c r="I581" s="5">
        <f>Raw_Data!F581</f>
        <v>1729</v>
      </c>
      <c r="J581" s="5">
        <f t="shared" si="4"/>
        <v>0</v>
      </c>
    </row>
    <row r="582">
      <c r="A582" s="5" t="str">
        <f>Raw_Data!A582</f>
        <v>TRK100580</v>
      </c>
      <c r="B582" s="5" t="str">
        <f>TRIM(Raw_Data!B582)</f>
        <v>Delhivery</v>
      </c>
      <c r="C582" s="5" t="str">
        <f>TRIM(Raw_Data!C582)</f>
        <v>Tier 2</v>
      </c>
      <c r="D582" s="6">
        <f>DATEVALUE(TEXT(Raw_Data!D582, "YYYY-MM-DD"))</f>
        <v>46047</v>
      </c>
      <c r="E582" s="6">
        <f>IF(ISBLANK(Raw_Data!E582), "", DATEVALUE(TEXT(Raw_Data!E582, "YYYY-MM-DD")))</f>
        <v>46051</v>
      </c>
      <c r="F582" s="5">
        <f t="shared" si="1"/>
        <v>4</v>
      </c>
      <c r="G582" s="5">
        <f t="shared" si="2"/>
        <v>4</v>
      </c>
      <c r="H582" s="5" t="str">
        <f t="shared" si="3"/>
        <v>ON TIME</v>
      </c>
      <c r="I582" s="5">
        <f>Raw_Data!F582</f>
        <v>9727</v>
      </c>
      <c r="J582" s="5">
        <f t="shared" si="4"/>
        <v>0</v>
      </c>
    </row>
    <row r="583">
      <c r="A583" s="5" t="str">
        <f>Raw_Data!A583</f>
        <v>TRK100581</v>
      </c>
      <c r="B583" s="5" t="str">
        <f>TRIM(Raw_Data!B583)</f>
        <v>BlueDart</v>
      </c>
      <c r="C583" s="5" t="str">
        <f>TRIM(Raw_Data!C583)</f>
        <v>Tier 2</v>
      </c>
      <c r="D583" s="6">
        <f>DATEVALUE(TEXT(Raw_Data!D583, "YYYY-MM-DD"))</f>
        <v>46071</v>
      </c>
      <c r="E583" s="6">
        <f>IF(ISBLANK(Raw_Data!E583), "", DATEVALUE(TEXT(Raw_Data!E583, "YYYY-MM-DD")))</f>
        <v>46080</v>
      </c>
      <c r="F583" s="5">
        <f t="shared" si="1"/>
        <v>4</v>
      </c>
      <c r="G583" s="5">
        <f t="shared" si="2"/>
        <v>8</v>
      </c>
      <c r="H583" s="5" t="str">
        <f t="shared" si="3"/>
        <v>SLA BREACH</v>
      </c>
      <c r="I583" s="5">
        <f>Raw_Data!F583</f>
        <v>5085</v>
      </c>
      <c r="J583" s="5">
        <f t="shared" si="4"/>
        <v>254.25</v>
      </c>
    </row>
    <row r="584">
      <c r="A584" s="5" t="str">
        <f>Raw_Data!A584</f>
        <v>TRK100582</v>
      </c>
      <c r="B584" s="5" t="str">
        <f>TRIM(Raw_Data!B584)</f>
        <v>EcomExpress</v>
      </c>
      <c r="C584" s="5" t="str">
        <f>TRIM(Raw_Data!C584)</f>
        <v>Tier 2</v>
      </c>
      <c r="D584" s="6">
        <f>DATEVALUE(TEXT(Raw_Data!D584, "YYYY-MM-DD"))</f>
        <v>46053</v>
      </c>
      <c r="E584" s="6">
        <f>IF(ISBLANK(Raw_Data!E584), "", DATEVALUE(TEXT(Raw_Data!E584, "YYYY-MM-DD")))</f>
        <v>46057</v>
      </c>
      <c r="F584" s="5">
        <f t="shared" si="1"/>
        <v>4</v>
      </c>
      <c r="G584" s="5">
        <f t="shared" si="2"/>
        <v>3</v>
      </c>
      <c r="H584" s="5" t="str">
        <f t="shared" si="3"/>
        <v>ON TIME</v>
      </c>
      <c r="I584" s="5">
        <f>Raw_Data!F584</f>
        <v>8967</v>
      </c>
      <c r="J584" s="5">
        <f t="shared" si="4"/>
        <v>0</v>
      </c>
    </row>
    <row r="585">
      <c r="A585" s="5" t="str">
        <f>Raw_Data!A585</f>
        <v>TRK100583</v>
      </c>
      <c r="B585" s="5" t="str">
        <f>TRIM(Raw_Data!B585)</f>
        <v>BlueDart</v>
      </c>
      <c r="C585" s="5" t="str">
        <f>TRIM(Raw_Data!C585)</f>
        <v>Tier 3</v>
      </c>
      <c r="D585" s="6">
        <f>DATEVALUE(TEXT(Raw_Data!D585, "YYYY-MM-DD"))</f>
        <v>46077</v>
      </c>
      <c r="E585" s="6">
        <f>IF(ISBLANK(Raw_Data!E585), "", DATEVALUE(TEXT(Raw_Data!E585, "YYYY-MM-DD")))</f>
        <v>46083</v>
      </c>
      <c r="F585" s="5">
        <f t="shared" si="1"/>
        <v>6</v>
      </c>
      <c r="G585" s="5">
        <f t="shared" si="2"/>
        <v>5</v>
      </c>
      <c r="H585" s="5" t="str">
        <f t="shared" si="3"/>
        <v>ON TIME</v>
      </c>
      <c r="I585" s="5">
        <f>Raw_Data!F585</f>
        <v>3240</v>
      </c>
      <c r="J585" s="5">
        <f t="shared" si="4"/>
        <v>0</v>
      </c>
    </row>
    <row r="586">
      <c r="A586" s="5" t="str">
        <f>Raw_Data!A586</f>
        <v>TRK100584</v>
      </c>
      <c r="B586" s="5" t="str">
        <f>TRIM(Raw_Data!B586)</f>
        <v>EcomExpress</v>
      </c>
      <c r="C586" s="5" t="str">
        <f>TRIM(Raw_Data!C586)</f>
        <v>Tier 2</v>
      </c>
      <c r="D586" s="6">
        <f>DATEVALUE(TEXT(Raw_Data!D586, "YYYY-MM-DD"))</f>
        <v>46042</v>
      </c>
      <c r="E586" s="6">
        <f>IF(ISBLANK(Raw_Data!E586), "", DATEVALUE(TEXT(Raw_Data!E586, "YYYY-MM-DD")))</f>
        <v>46046</v>
      </c>
      <c r="F586" s="5">
        <f t="shared" si="1"/>
        <v>4</v>
      </c>
      <c r="G586" s="5">
        <f t="shared" si="2"/>
        <v>4</v>
      </c>
      <c r="H586" s="5" t="str">
        <f t="shared" si="3"/>
        <v>ON TIME</v>
      </c>
      <c r="I586" s="5">
        <f>Raw_Data!F586</f>
        <v>2789</v>
      </c>
      <c r="J586" s="5">
        <f t="shared" si="4"/>
        <v>0</v>
      </c>
    </row>
    <row r="587">
      <c r="A587" s="5" t="str">
        <f>Raw_Data!A587</f>
        <v>TRK100585</v>
      </c>
      <c r="B587" s="5" t="str">
        <f>TRIM(Raw_Data!B587)</f>
        <v>EcomExpress</v>
      </c>
      <c r="C587" s="5" t="str">
        <f>TRIM(Raw_Data!C587)</f>
        <v>Tier 2</v>
      </c>
      <c r="D587" s="6">
        <f>DATEVALUE(TEXT(Raw_Data!D587, "YYYY-MM-DD"))</f>
        <v>46032</v>
      </c>
      <c r="E587" s="6">
        <f>IF(ISBLANK(Raw_Data!E587), "", DATEVALUE(TEXT(Raw_Data!E587, "YYYY-MM-DD")))</f>
        <v>46036</v>
      </c>
      <c r="F587" s="5">
        <f t="shared" si="1"/>
        <v>4</v>
      </c>
      <c r="G587" s="5">
        <f t="shared" si="2"/>
        <v>3</v>
      </c>
      <c r="H587" s="5" t="str">
        <f t="shared" si="3"/>
        <v>ON TIME</v>
      </c>
      <c r="I587" s="5">
        <f>Raw_Data!F587</f>
        <v>1739</v>
      </c>
      <c r="J587" s="5">
        <f t="shared" si="4"/>
        <v>0</v>
      </c>
    </row>
    <row r="588">
      <c r="A588" s="5" t="str">
        <f>Raw_Data!A588</f>
        <v>TRK100586</v>
      </c>
      <c r="B588" s="5" t="str">
        <f>TRIM(Raw_Data!B588)</f>
        <v>Delhivery</v>
      </c>
      <c r="C588" s="5" t="str">
        <f>TRIM(Raw_Data!C588)</f>
        <v>Metro</v>
      </c>
      <c r="D588" s="6">
        <f>DATEVALUE(TEXT(Raw_Data!D588, "YYYY-MM-DD"))</f>
        <v>46052</v>
      </c>
      <c r="E588" s="6">
        <f>IF(ISBLANK(Raw_Data!E588), "", DATEVALUE(TEXT(Raw_Data!E588, "YYYY-MM-DD")))</f>
        <v>46054</v>
      </c>
      <c r="F588" s="5">
        <f t="shared" si="1"/>
        <v>2</v>
      </c>
      <c r="G588" s="5">
        <f t="shared" si="2"/>
        <v>1</v>
      </c>
      <c r="H588" s="5" t="str">
        <f t="shared" si="3"/>
        <v>ON TIME</v>
      </c>
      <c r="I588" s="5">
        <f>Raw_Data!F588</f>
        <v>5870</v>
      </c>
      <c r="J588" s="5">
        <f t="shared" si="4"/>
        <v>0</v>
      </c>
    </row>
    <row r="589">
      <c r="A589" s="5" t="str">
        <f>Raw_Data!A589</f>
        <v>TRK100587</v>
      </c>
      <c r="B589" s="5" t="str">
        <f>TRIM(Raw_Data!B589)</f>
        <v>EcomExpress</v>
      </c>
      <c r="C589" s="5" t="str">
        <f>TRIM(Raw_Data!C589)</f>
        <v>Tier 3</v>
      </c>
      <c r="D589" s="6">
        <f>DATEVALUE(TEXT(Raw_Data!D589, "YYYY-MM-DD"))</f>
        <v>46058</v>
      </c>
      <c r="E589" s="6">
        <f>IF(ISBLANK(Raw_Data!E589), "", DATEVALUE(TEXT(Raw_Data!E589, "YYYY-MM-DD")))</f>
        <v>46064</v>
      </c>
      <c r="F589" s="5">
        <f t="shared" si="1"/>
        <v>6</v>
      </c>
      <c r="G589" s="5">
        <f t="shared" si="2"/>
        <v>5</v>
      </c>
      <c r="H589" s="5" t="str">
        <f t="shared" si="3"/>
        <v>ON TIME</v>
      </c>
      <c r="I589" s="5">
        <f>Raw_Data!F589</f>
        <v>625</v>
      </c>
      <c r="J589" s="5">
        <f t="shared" si="4"/>
        <v>0</v>
      </c>
    </row>
    <row r="590">
      <c r="A590" s="5" t="str">
        <f>Raw_Data!A590</f>
        <v>TRK100588</v>
      </c>
      <c r="B590" s="5" t="str">
        <f>TRIM(Raw_Data!B590)</f>
        <v>EcomExpress</v>
      </c>
      <c r="C590" s="5" t="str">
        <f>TRIM(Raw_Data!C590)</f>
        <v>Tier 2</v>
      </c>
      <c r="D590" s="6">
        <f>DATEVALUE(TEXT(Raw_Data!D590, "YYYY-MM-DD"))</f>
        <v>46049</v>
      </c>
      <c r="E590" s="6">
        <f>IF(ISBLANK(Raw_Data!E590), "", DATEVALUE(TEXT(Raw_Data!E590, "YYYY-MM-DD")))</f>
        <v>46053</v>
      </c>
      <c r="F590" s="5">
        <f t="shared" si="1"/>
        <v>4</v>
      </c>
      <c r="G590" s="5">
        <f t="shared" si="2"/>
        <v>4</v>
      </c>
      <c r="H590" s="5" t="str">
        <f t="shared" si="3"/>
        <v>ON TIME</v>
      </c>
      <c r="I590" s="5">
        <f>Raw_Data!F590</f>
        <v>7973</v>
      </c>
      <c r="J590" s="5">
        <f t="shared" si="4"/>
        <v>0</v>
      </c>
    </row>
    <row r="591">
      <c r="A591" s="5" t="str">
        <f>Raw_Data!A591</f>
        <v>TRK100589</v>
      </c>
      <c r="B591" s="5" t="str">
        <f>TRIM(Raw_Data!B591)</f>
        <v>BlueDart</v>
      </c>
      <c r="C591" s="5" t="str">
        <f>TRIM(Raw_Data!C591)</f>
        <v>Metro</v>
      </c>
      <c r="D591" s="6">
        <f>DATEVALUE(TEXT(Raw_Data!D591, "YYYY-MM-DD"))</f>
        <v>46056</v>
      </c>
      <c r="E591" s="6">
        <f>IF(ISBLANK(Raw_Data!E591), "", DATEVALUE(TEXT(Raw_Data!E591, "YYYY-MM-DD")))</f>
        <v>46058</v>
      </c>
      <c r="F591" s="5">
        <f t="shared" si="1"/>
        <v>2</v>
      </c>
      <c r="G591" s="5">
        <f t="shared" si="2"/>
        <v>3</v>
      </c>
      <c r="H591" s="5" t="str">
        <f t="shared" si="3"/>
        <v>SLA BREACH</v>
      </c>
      <c r="I591" s="5">
        <f>Raw_Data!F591</f>
        <v>9900</v>
      </c>
      <c r="J591" s="5">
        <f t="shared" si="4"/>
        <v>495</v>
      </c>
    </row>
    <row r="592">
      <c r="A592" s="5" t="str">
        <f>Raw_Data!A592</f>
        <v>TRK100590</v>
      </c>
      <c r="B592" s="5" t="str">
        <f>TRIM(Raw_Data!B592)</f>
        <v>BlueDart</v>
      </c>
      <c r="C592" s="5" t="str">
        <f>TRIM(Raw_Data!C592)</f>
        <v>Metro</v>
      </c>
      <c r="D592" s="6">
        <f>DATEVALUE(TEXT(Raw_Data!D592, "YYYY-MM-DD"))</f>
        <v>46047</v>
      </c>
      <c r="E592" s="6">
        <f>IF(ISBLANK(Raw_Data!E592), "", DATEVALUE(TEXT(Raw_Data!E592, "YYYY-MM-DD")))</f>
        <v>46049</v>
      </c>
      <c r="F592" s="5">
        <f t="shared" si="1"/>
        <v>2</v>
      </c>
      <c r="G592" s="5">
        <f t="shared" si="2"/>
        <v>2</v>
      </c>
      <c r="H592" s="5" t="str">
        <f t="shared" si="3"/>
        <v>ON TIME</v>
      </c>
      <c r="I592" s="5">
        <f>Raw_Data!F592</f>
        <v>5842</v>
      </c>
      <c r="J592" s="5">
        <f t="shared" si="4"/>
        <v>0</v>
      </c>
    </row>
    <row r="593">
      <c r="A593" s="5" t="str">
        <f>Raw_Data!A593</f>
        <v>TRK100591</v>
      </c>
      <c r="B593" s="5" t="str">
        <f>TRIM(Raw_Data!B593)</f>
        <v>EcomExpress</v>
      </c>
      <c r="C593" s="5" t="str">
        <f>TRIM(Raw_Data!C593)</f>
        <v>Metro</v>
      </c>
      <c r="D593" s="6">
        <f>DATEVALUE(TEXT(Raw_Data!D593, "YYYY-MM-DD"))</f>
        <v>46039</v>
      </c>
      <c r="E593" s="6">
        <f>IF(ISBLANK(Raw_Data!E593), "", DATEVALUE(TEXT(Raw_Data!E593, "YYYY-MM-DD")))</f>
        <v>46041</v>
      </c>
      <c r="F593" s="5">
        <f t="shared" si="1"/>
        <v>2</v>
      </c>
      <c r="G593" s="5">
        <f t="shared" si="2"/>
        <v>1</v>
      </c>
      <c r="H593" s="5" t="str">
        <f t="shared" si="3"/>
        <v>ON TIME</v>
      </c>
      <c r="I593" s="5">
        <f>Raw_Data!F593</f>
        <v>7851</v>
      </c>
      <c r="J593" s="5">
        <f t="shared" si="4"/>
        <v>0</v>
      </c>
    </row>
    <row r="594">
      <c r="A594" s="5" t="str">
        <f>Raw_Data!A594</f>
        <v>TRK100592</v>
      </c>
      <c r="B594" s="5" t="str">
        <f>TRIM(Raw_Data!B594)</f>
        <v>Delhivery</v>
      </c>
      <c r="C594" s="5" t="str">
        <f>TRIM(Raw_Data!C594)</f>
        <v>Metro</v>
      </c>
      <c r="D594" s="6">
        <f>DATEVALUE(TEXT(Raw_Data!D594, "YYYY-MM-DD"))</f>
        <v>46044</v>
      </c>
      <c r="E594" s="6">
        <f>IF(ISBLANK(Raw_Data!E594), "", DATEVALUE(TEXT(Raw_Data!E594, "YYYY-MM-DD")))</f>
        <v>46046</v>
      </c>
      <c r="F594" s="5">
        <f t="shared" si="1"/>
        <v>2</v>
      </c>
      <c r="G594" s="5">
        <f t="shared" si="2"/>
        <v>2</v>
      </c>
      <c r="H594" s="5" t="str">
        <f t="shared" si="3"/>
        <v>ON TIME</v>
      </c>
      <c r="I594" s="5">
        <f>Raw_Data!F594</f>
        <v>7138</v>
      </c>
      <c r="J594" s="5">
        <f t="shared" si="4"/>
        <v>0</v>
      </c>
    </row>
    <row r="595">
      <c r="A595" s="5" t="str">
        <f>Raw_Data!A595</f>
        <v>TRK100593</v>
      </c>
      <c r="B595" s="5" t="str">
        <f>TRIM(Raw_Data!B595)</f>
        <v>BlueDart</v>
      </c>
      <c r="C595" s="5" t="str">
        <f>TRIM(Raw_Data!C595)</f>
        <v>Tier 2</v>
      </c>
      <c r="D595" s="6">
        <f>DATEVALUE(TEXT(Raw_Data!D595, "YYYY-MM-DD"))</f>
        <v>46028</v>
      </c>
      <c r="E595" s="6">
        <f>IF(ISBLANK(Raw_Data!E595), "", DATEVALUE(TEXT(Raw_Data!E595, "YYYY-MM-DD")))</f>
        <v>46032</v>
      </c>
      <c r="F595" s="5">
        <f t="shared" si="1"/>
        <v>4</v>
      </c>
      <c r="G595" s="5">
        <f t="shared" si="2"/>
        <v>4</v>
      </c>
      <c r="H595" s="5" t="str">
        <f t="shared" si="3"/>
        <v>ON TIME</v>
      </c>
      <c r="I595" s="5">
        <f>Raw_Data!F595</f>
        <v>7070</v>
      </c>
      <c r="J595" s="5">
        <f t="shared" si="4"/>
        <v>0</v>
      </c>
    </row>
    <row r="596">
      <c r="A596" s="5" t="str">
        <f>Raw_Data!A596</f>
        <v>TRK100594</v>
      </c>
      <c r="B596" s="5" t="str">
        <f>TRIM(Raw_Data!B596)</f>
        <v>BlueDart</v>
      </c>
      <c r="C596" s="5" t="str">
        <f>TRIM(Raw_Data!C596)</f>
        <v>Metro</v>
      </c>
      <c r="D596" s="6">
        <f>DATEVALUE(TEXT(Raw_Data!D596, "YYYY-MM-DD"))</f>
        <v>46077</v>
      </c>
      <c r="E596" s="6">
        <f>IF(ISBLANK(Raw_Data!E596), "", DATEVALUE(TEXT(Raw_Data!E596, "YYYY-MM-DD")))</f>
        <v>46081</v>
      </c>
      <c r="F596" s="5">
        <f t="shared" si="1"/>
        <v>2</v>
      </c>
      <c r="G596" s="5">
        <f t="shared" si="2"/>
        <v>4</v>
      </c>
      <c r="H596" s="5" t="str">
        <f t="shared" si="3"/>
        <v>SLA BREACH</v>
      </c>
      <c r="I596" s="5">
        <f>Raw_Data!F596</f>
        <v>3749</v>
      </c>
      <c r="J596" s="5">
        <f t="shared" si="4"/>
        <v>187.45</v>
      </c>
    </row>
    <row r="597">
      <c r="A597" s="5" t="str">
        <f>Raw_Data!A597</f>
        <v>TRK100595</v>
      </c>
      <c r="B597" s="5" t="str">
        <f>TRIM(Raw_Data!B597)</f>
        <v>Delhivery</v>
      </c>
      <c r="C597" s="5" t="str">
        <f>TRIM(Raw_Data!C597)</f>
        <v>Tier 3</v>
      </c>
      <c r="D597" s="6">
        <f>DATEVALUE(TEXT(Raw_Data!D597, "YYYY-MM-DD"))</f>
        <v>46028</v>
      </c>
      <c r="E597" s="6">
        <f>IF(ISBLANK(Raw_Data!E597), "", DATEVALUE(TEXT(Raw_Data!E597, "YYYY-MM-DD")))</f>
        <v>46034</v>
      </c>
      <c r="F597" s="5">
        <f t="shared" si="1"/>
        <v>6</v>
      </c>
      <c r="G597" s="5">
        <f t="shared" si="2"/>
        <v>5</v>
      </c>
      <c r="H597" s="5" t="str">
        <f t="shared" si="3"/>
        <v>ON TIME</v>
      </c>
      <c r="I597" s="5">
        <f>Raw_Data!F597</f>
        <v>9610</v>
      </c>
      <c r="J597" s="5">
        <f t="shared" si="4"/>
        <v>0</v>
      </c>
    </row>
    <row r="598">
      <c r="A598" s="5" t="str">
        <f>Raw_Data!A598</f>
        <v>TRK100596</v>
      </c>
      <c r="B598" s="5" t="str">
        <f>TRIM(Raw_Data!B598)</f>
        <v>BlueDart</v>
      </c>
      <c r="C598" s="5" t="str">
        <f>TRIM(Raw_Data!C598)</f>
        <v>Tier 3</v>
      </c>
      <c r="D598" s="6">
        <f>DATEVALUE(TEXT(Raw_Data!D598, "YYYY-MM-DD"))</f>
        <v>46069</v>
      </c>
      <c r="E598" s="6">
        <f>IF(ISBLANK(Raw_Data!E598), "", DATEVALUE(TEXT(Raw_Data!E598, "YYYY-MM-DD")))</f>
        <v>46075</v>
      </c>
      <c r="F598" s="5">
        <f t="shared" si="1"/>
        <v>6</v>
      </c>
      <c r="G598" s="5">
        <f t="shared" si="2"/>
        <v>5</v>
      </c>
      <c r="H598" s="5" t="str">
        <f t="shared" si="3"/>
        <v>ON TIME</v>
      </c>
      <c r="I598" s="5">
        <f>Raw_Data!F598</f>
        <v>8095</v>
      </c>
      <c r="J598" s="5">
        <f t="shared" si="4"/>
        <v>0</v>
      </c>
    </row>
    <row r="599">
      <c r="A599" s="5" t="str">
        <f>Raw_Data!A599</f>
        <v>TRK100597</v>
      </c>
      <c r="B599" s="5" t="str">
        <f>TRIM(Raw_Data!B599)</f>
        <v>EcomExpress</v>
      </c>
      <c r="C599" s="5" t="str">
        <f>TRIM(Raw_Data!C599)</f>
        <v>Tier 2</v>
      </c>
      <c r="D599" s="6">
        <f>DATEVALUE(TEXT(Raw_Data!D599, "YYYY-MM-DD"))</f>
        <v>46026</v>
      </c>
      <c r="E599" s="6">
        <f>IF(ISBLANK(Raw_Data!E599), "", DATEVALUE(TEXT(Raw_Data!E599, "YYYY-MM-DD")))</f>
        <v>46030</v>
      </c>
      <c r="F599" s="5">
        <f t="shared" si="1"/>
        <v>4</v>
      </c>
      <c r="G599" s="5">
        <f t="shared" si="2"/>
        <v>4</v>
      </c>
      <c r="H599" s="5" t="str">
        <f t="shared" si="3"/>
        <v>ON TIME</v>
      </c>
      <c r="I599" s="5">
        <f>Raw_Data!F599</f>
        <v>6794</v>
      </c>
      <c r="J599" s="5">
        <f t="shared" si="4"/>
        <v>0</v>
      </c>
    </row>
    <row r="600">
      <c r="A600" s="5" t="str">
        <f>Raw_Data!A600</f>
        <v>TRK100598</v>
      </c>
      <c r="B600" s="5" t="str">
        <f>TRIM(Raw_Data!B600)</f>
        <v>EcomExpress</v>
      </c>
      <c r="C600" s="5" t="str">
        <f>TRIM(Raw_Data!C600)</f>
        <v>Metro</v>
      </c>
      <c r="D600" s="6">
        <f>DATEVALUE(TEXT(Raw_Data!D600, "YYYY-MM-DD"))</f>
        <v>46047</v>
      </c>
      <c r="E600" s="6">
        <f>IF(ISBLANK(Raw_Data!E600), "", DATEVALUE(TEXT(Raw_Data!E600, "YYYY-MM-DD")))</f>
        <v>46049</v>
      </c>
      <c r="F600" s="5">
        <f t="shared" si="1"/>
        <v>2</v>
      </c>
      <c r="G600" s="5">
        <f t="shared" si="2"/>
        <v>2</v>
      </c>
      <c r="H600" s="5" t="str">
        <f t="shared" si="3"/>
        <v>ON TIME</v>
      </c>
      <c r="I600" s="5">
        <f>Raw_Data!F600</f>
        <v>7027</v>
      </c>
      <c r="J600" s="5">
        <f t="shared" si="4"/>
        <v>0</v>
      </c>
    </row>
    <row r="601">
      <c r="A601" s="5" t="str">
        <f>Raw_Data!A601</f>
        <v>TRK100599</v>
      </c>
      <c r="B601" s="5" t="str">
        <f>TRIM(Raw_Data!B601)</f>
        <v>EcomExpress</v>
      </c>
      <c r="C601" s="5" t="str">
        <f>TRIM(Raw_Data!C601)</f>
        <v>Tier 3</v>
      </c>
      <c r="D601" s="6">
        <f>DATEVALUE(TEXT(Raw_Data!D601, "YYYY-MM-DD"))</f>
        <v>46061</v>
      </c>
      <c r="E601" s="6">
        <f>IF(ISBLANK(Raw_Data!E601), "", DATEVALUE(TEXT(Raw_Data!E601, "YYYY-MM-DD")))</f>
        <v>46067</v>
      </c>
      <c r="F601" s="5">
        <f t="shared" si="1"/>
        <v>6</v>
      </c>
      <c r="G601" s="5">
        <f t="shared" si="2"/>
        <v>5</v>
      </c>
      <c r="H601" s="5" t="str">
        <f t="shared" si="3"/>
        <v>ON TIME</v>
      </c>
      <c r="I601" s="5">
        <f>Raw_Data!F601</f>
        <v>6257</v>
      </c>
      <c r="J601" s="5">
        <f t="shared" si="4"/>
        <v>0</v>
      </c>
    </row>
    <row r="602">
      <c r="A602" s="5" t="str">
        <f>Raw_Data!A602</f>
        <v>TRK100600</v>
      </c>
      <c r="B602" s="5" t="str">
        <f>TRIM(Raw_Data!B602)</f>
        <v>BlueDart</v>
      </c>
      <c r="C602" s="5" t="str">
        <f>TRIM(Raw_Data!C602)</f>
        <v>Metro</v>
      </c>
      <c r="D602" s="6">
        <f>DATEVALUE(TEXT(Raw_Data!D602, "YYYY-MM-DD"))</f>
        <v>46025</v>
      </c>
      <c r="E602" s="6">
        <f>IF(ISBLANK(Raw_Data!E602), "", DATEVALUE(TEXT(Raw_Data!E602, "YYYY-MM-DD")))</f>
        <v>46027</v>
      </c>
      <c r="F602" s="5">
        <f t="shared" si="1"/>
        <v>2</v>
      </c>
      <c r="G602" s="5">
        <f t="shared" si="2"/>
        <v>1</v>
      </c>
      <c r="H602" s="5" t="str">
        <f t="shared" si="3"/>
        <v>ON TIME</v>
      </c>
      <c r="I602" s="5">
        <f>Raw_Data!F602</f>
        <v>2469</v>
      </c>
      <c r="J602" s="5">
        <f t="shared" si="4"/>
        <v>0</v>
      </c>
    </row>
    <row r="603">
      <c r="A603" s="5" t="str">
        <f>Raw_Data!A603</f>
        <v>TRK100601</v>
      </c>
      <c r="B603" s="5" t="str">
        <f>TRIM(Raw_Data!B603)</f>
        <v>BlueDart</v>
      </c>
      <c r="C603" s="5" t="str">
        <f>TRIM(Raw_Data!C603)</f>
        <v>Tier 3</v>
      </c>
      <c r="D603" s="6">
        <f>DATEVALUE(TEXT(Raw_Data!D603, "YYYY-MM-DD"))</f>
        <v>46035</v>
      </c>
      <c r="E603" s="6">
        <f>IF(ISBLANK(Raw_Data!E603), "", DATEVALUE(TEXT(Raw_Data!E603, "YYYY-MM-DD")))</f>
        <v>46041</v>
      </c>
      <c r="F603" s="5">
        <f t="shared" si="1"/>
        <v>6</v>
      </c>
      <c r="G603" s="5">
        <f t="shared" si="2"/>
        <v>5</v>
      </c>
      <c r="H603" s="5" t="str">
        <f t="shared" si="3"/>
        <v>ON TIME</v>
      </c>
      <c r="I603" s="5">
        <f>Raw_Data!F603</f>
        <v>11485</v>
      </c>
      <c r="J603" s="5">
        <f t="shared" si="4"/>
        <v>0</v>
      </c>
    </row>
    <row r="604">
      <c r="A604" s="5" t="str">
        <f>Raw_Data!A604</f>
        <v>TRK100602</v>
      </c>
      <c r="B604" s="5" t="str">
        <f>TRIM(Raw_Data!B604)</f>
        <v>BlueDart</v>
      </c>
      <c r="C604" s="5" t="str">
        <f>TRIM(Raw_Data!C604)</f>
        <v>Tier 3</v>
      </c>
      <c r="D604" s="6">
        <f>DATEVALUE(TEXT(Raw_Data!D604, "YYYY-MM-DD"))</f>
        <v>46071</v>
      </c>
      <c r="E604" s="6">
        <f>IF(ISBLANK(Raw_Data!E604), "", DATEVALUE(TEXT(Raw_Data!E604, "YYYY-MM-DD")))</f>
        <v>46077</v>
      </c>
      <c r="F604" s="5">
        <f t="shared" si="1"/>
        <v>6</v>
      </c>
      <c r="G604" s="5">
        <f t="shared" si="2"/>
        <v>5</v>
      </c>
      <c r="H604" s="5" t="str">
        <f t="shared" si="3"/>
        <v>ON TIME</v>
      </c>
      <c r="I604" s="5">
        <f>Raw_Data!F604</f>
        <v>1391</v>
      </c>
      <c r="J604" s="5">
        <f t="shared" si="4"/>
        <v>0</v>
      </c>
    </row>
    <row r="605">
      <c r="A605" s="5" t="str">
        <f>Raw_Data!A605</f>
        <v>TRK100603</v>
      </c>
      <c r="B605" s="5" t="str">
        <f>TRIM(Raw_Data!B605)</f>
        <v>BlueDart</v>
      </c>
      <c r="C605" s="5" t="str">
        <f>TRIM(Raw_Data!C605)</f>
        <v>Tier 3</v>
      </c>
      <c r="D605" s="6">
        <f>DATEVALUE(TEXT(Raw_Data!D605, "YYYY-MM-DD"))</f>
        <v>46069</v>
      </c>
      <c r="E605" s="6">
        <f>IF(ISBLANK(Raw_Data!E605), "", DATEVALUE(TEXT(Raw_Data!E605, "YYYY-MM-DD")))</f>
        <v>46075</v>
      </c>
      <c r="F605" s="5">
        <f t="shared" si="1"/>
        <v>6</v>
      </c>
      <c r="G605" s="5">
        <f t="shared" si="2"/>
        <v>5</v>
      </c>
      <c r="H605" s="5" t="str">
        <f t="shared" si="3"/>
        <v>ON TIME</v>
      </c>
      <c r="I605" s="5">
        <f>Raw_Data!F605</f>
        <v>4970</v>
      </c>
      <c r="J605" s="5">
        <f t="shared" si="4"/>
        <v>0</v>
      </c>
    </row>
    <row r="606">
      <c r="A606" s="5" t="str">
        <f>Raw_Data!A606</f>
        <v>TRK100604</v>
      </c>
      <c r="B606" s="5" t="str">
        <f>TRIM(Raw_Data!B606)</f>
        <v>EcomExpress</v>
      </c>
      <c r="C606" s="5" t="str">
        <f>TRIM(Raw_Data!C606)</f>
        <v>Tier 2</v>
      </c>
      <c r="D606" s="6">
        <f>DATEVALUE(TEXT(Raw_Data!D606, "YYYY-MM-DD"))</f>
        <v>46058</v>
      </c>
      <c r="E606" s="6">
        <f>IF(ISBLANK(Raw_Data!E606), "", DATEVALUE(TEXT(Raw_Data!E606, "YYYY-MM-DD")))</f>
        <v>46062</v>
      </c>
      <c r="F606" s="5">
        <f t="shared" si="1"/>
        <v>4</v>
      </c>
      <c r="G606" s="5">
        <f t="shared" si="2"/>
        <v>3</v>
      </c>
      <c r="H606" s="5" t="str">
        <f t="shared" si="3"/>
        <v>ON TIME</v>
      </c>
      <c r="I606" s="5">
        <f>Raw_Data!F606</f>
        <v>7675</v>
      </c>
      <c r="J606" s="5">
        <f t="shared" si="4"/>
        <v>0</v>
      </c>
    </row>
    <row r="607">
      <c r="A607" s="5" t="str">
        <f>Raw_Data!A607</f>
        <v>TRK100605</v>
      </c>
      <c r="B607" s="5" t="str">
        <f>TRIM(Raw_Data!B607)</f>
        <v>Delhivery</v>
      </c>
      <c r="C607" s="5" t="str">
        <f>TRIM(Raw_Data!C607)</f>
        <v>Tier 3</v>
      </c>
      <c r="D607" s="6">
        <f>DATEVALUE(TEXT(Raw_Data!D607, "YYYY-MM-DD"))</f>
        <v>46053</v>
      </c>
      <c r="E607" s="6">
        <f>IF(ISBLANK(Raw_Data!E607), "", DATEVALUE(TEXT(Raw_Data!E607, "YYYY-MM-DD")))</f>
        <v>46059</v>
      </c>
      <c r="F607" s="5">
        <f t="shared" si="1"/>
        <v>6</v>
      </c>
      <c r="G607" s="5">
        <f t="shared" si="2"/>
        <v>5</v>
      </c>
      <c r="H607" s="5" t="str">
        <f t="shared" si="3"/>
        <v>ON TIME</v>
      </c>
      <c r="I607" s="5">
        <f>Raw_Data!F607</f>
        <v>10725</v>
      </c>
      <c r="J607" s="5">
        <f t="shared" si="4"/>
        <v>0</v>
      </c>
    </row>
    <row r="608">
      <c r="A608" s="5" t="str">
        <f>Raw_Data!A608</f>
        <v>TRK100606</v>
      </c>
      <c r="B608" s="5" t="str">
        <f>TRIM(Raw_Data!B608)</f>
        <v>EcomExpress</v>
      </c>
      <c r="C608" s="5" t="str">
        <f>TRIM(Raw_Data!C608)</f>
        <v>Metro</v>
      </c>
      <c r="D608" s="6">
        <f>DATEVALUE(TEXT(Raw_Data!D608, "YYYY-MM-DD"))</f>
        <v>46078</v>
      </c>
      <c r="E608" s="6">
        <f>IF(ISBLANK(Raw_Data!E608), "", DATEVALUE(TEXT(Raw_Data!E608, "YYYY-MM-DD")))</f>
        <v>46080</v>
      </c>
      <c r="F608" s="5">
        <f t="shared" si="1"/>
        <v>2</v>
      </c>
      <c r="G608" s="5">
        <f t="shared" si="2"/>
        <v>3</v>
      </c>
      <c r="H608" s="5" t="str">
        <f t="shared" si="3"/>
        <v>SLA BREACH</v>
      </c>
      <c r="I608" s="5">
        <f>Raw_Data!F608</f>
        <v>10056</v>
      </c>
      <c r="J608" s="5">
        <f t="shared" si="4"/>
        <v>502.8</v>
      </c>
    </row>
    <row r="609">
      <c r="A609" s="5" t="str">
        <f>Raw_Data!A609</f>
        <v>TRK100607</v>
      </c>
      <c r="B609" s="5" t="str">
        <f>TRIM(Raw_Data!B609)</f>
        <v>BlueDart</v>
      </c>
      <c r="C609" s="5" t="str">
        <f>TRIM(Raw_Data!C609)</f>
        <v>Tier 2</v>
      </c>
      <c r="D609" s="6">
        <f>DATEVALUE(TEXT(Raw_Data!D609, "YYYY-MM-DD"))</f>
        <v>46042</v>
      </c>
      <c r="E609" s="6">
        <f>IF(ISBLANK(Raw_Data!E609), "", DATEVALUE(TEXT(Raw_Data!E609, "YYYY-MM-DD")))</f>
        <v>46046</v>
      </c>
      <c r="F609" s="5">
        <f t="shared" si="1"/>
        <v>4</v>
      </c>
      <c r="G609" s="5">
        <f t="shared" si="2"/>
        <v>4</v>
      </c>
      <c r="H609" s="5" t="str">
        <f t="shared" si="3"/>
        <v>ON TIME</v>
      </c>
      <c r="I609" s="5">
        <f>Raw_Data!F609</f>
        <v>8820</v>
      </c>
      <c r="J609" s="5">
        <f t="shared" si="4"/>
        <v>0</v>
      </c>
    </row>
    <row r="610">
      <c r="A610" s="5" t="str">
        <f>Raw_Data!A610</f>
        <v>TRK100608</v>
      </c>
      <c r="B610" s="5" t="str">
        <f>TRIM(Raw_Data!B610)</f>
        <v>EcomExpress</v>
      </c>
      <c r="C610" s="5" t="str">
        <f>TRIM(Raw_Data!C610)</f>
        <v>Tier 2</v>
      </c>
      <c r="D610" s="6">
        <f>DATEVALUE(TEXT(Raw_Data!D610, "YYYY-MM-DD"))</f>
        <v>46036</v>
      </c>
      <c r="E610" s="6">
        <f>IF(ISBLANK(Raw_Data!E610), "", DATEVALUE(TEXT(Raw_Data!E610, "YYYY-MM-DD")))</f>
        <v>46040</v>
      </c>
      <c r="F610" s="5">
        <f t="shared" si="1"/>
        <v>4</v>
      </c>
      <c r="G610" s="5">
        <f t="shared" si="2"/>
        <v>3</v>
      </c>
      <c r="H610" s="5" t="str">
        <f t="shared" si="3"/>
        <v>ON TIME</v>
      </c>
      <c r="I610" s="5">
        <f>Raw_Data!F610</f>
        <v>9706</v>
      </c>
      <c r="J610" s="5">
        <f t="shared" si="4"/>
        <v>0</v>
      </c>
    </row>
    <row r="611">
      <c r="A611" s="5" t="str">
        <f>Raw_Data!A611</f>
        <v>TRK100609</v>
      </c>
      <c r="B611" s="5" t="str">
        <f>TRIM(Raw_Data!B611)</f>
        <v>Delhivery</v>
      </c>
      <c r="C611" s="5" t="str">
        <f>TRIM(Raw_Data!C611)</f>
        <v>Tier 3</v>
      </c>
      <c r="D611" s="6">
        <f>DATEVALUE(TEXT(Raw_Data!D611, "YYYY-MM-DD"))</f>
        <v>46070</v>
      </c>
      <c r="E611" s="6">
        <f>IF(ISBLANK(Raw_Data!E611), "", DATEVALUE(TEXT(Raw_Data!E611, "YYYY-MM-DD")))</f>
        <v>46076</v>
      </c>
      <c r="F611" s="5">
        <f t="shared" si="1"/>
        <v>6</v>
      </c>
      <c r="G611" s="5">
        <f t="shared" si="2"/>
        <v>5</v>
      </c>
      <c r="H611" s="5" t="str">
        <f t="shared" si="3"/>
        <v>ON TIME</v>
      </c>
      <c r="I611" s="5">
        <f>Raw_Data!F611</f>
        <v>10491</v>
      </c>
      <c r="J611" s="5">
        <f t="shared" si="4"/>
        <v>0</v>
      </c>
    </row>
    <row r="612">
      <c r="A612" s="5" t="str">
        <f>Raw_Data!A612</f>
        <v>TRK100610</v>
      </c>
      <c r="B612" s="5" t="str">
        <f>TRIM(Raw_Data!B612)</f>
        <v>EcomExpress</v>
      </c>
      <c r="C612" s="5" t="str">
        <f>TRIM(Raw_Data!C612)</f>
        <v>Tier 2</v>
      </c>
      <c r="D612" s="6">
        <f>DATEVALUE(TEXT(Raw_Data!D612, "YYYY-MM-DD"))</f>
        <v>46070</v>
      </c>
      <c r="E612" s="6">
        <f>IF(ISBLANK(Raw_Data!E612), "", DATEVALUE(TEXT(Raw_Data!E612, "YYYY-MM-DD")))</f>
        <v>46074</v>
      </c>
      <c r="F612" s="5">
        <f t="shared" si="1"/>
        <v>4</v>
      </c>
      <c r="G612" s="5">
        <f t="shared" si="2"/>
        <v>4</v>
      </c>
      <c r="H612" s="5" t="str">
        <f t="shared" si="3"/>
        <v>ON TIME</v>
      </c>
      <c r="I612" s="5">
        <f>Raw_Data!F612</f>
        <v>7312</v>
      </c>
      <c r="J612" s="5">
        <f t="shared" si="4"/>
        <v>0</v>
      </c>
    </row>
    <row r="613">
      <c r="A613" s="5" t="str">
        <f>Raw_Data!A613</f>
        <v>TRK100611</v>
      </c>
      <c r="B613" s="5" t="str">
        <f>TRIM(Raw_Data!B613)</f>
        <v>Delhivery</v>
      </c>
      <c r="C613" s="5" t="str">
        <f>TRIM(Raw_Data!C613)</f>
        <v>Tier 3</v>
      </c>
      <c r="D613" s="6">
        <f>DATEVALUE(TEXT(Raw_Data!D613, "YYYY-MM-DD"))</f>
        <v>46053</v>
      </c>
      <c r="E613" s="6">
        <f>IF(ISBLANK(Raw_Data!E613), "", DATEVALUE(TEXT(Raw_Data!E613, "YYYY-MM-DD")))</f>
        <v>46060</v>
      </c>
      <c r="F613" s="5">
        <f t="shared" si="1"/>
        <v>6</v>
      </c>
      <c r="G613" s="5">
        <f t="shared" si="2"/>
        <v>5</v>
      </c>
      <c r="H613" s="5" t="str">
        <f t="shared" si="3"/>
        <v>ON TIME</v>
      </c>
      <c r="I613" s="5">
        <f>Raw_Data!F613</f>
        <v>8019</v>
      </c>
      <c r="J613" s="5">
        <f t="shared" si="4"/>
        <v>0</v>
      </c>
    </row>
    <row r="614">
      <c r="A614" s="5" t="str">
        <f>Raw_Data!A614</f>
        <v>TRK100612</v>
      </c>
      <c r="B614" s="5" t="str">
        <f>TRIM(Raw_Data!B614)</f>
        <v>BlueDart</v>
      </c>
      <c r="C614" s="5" t="str">
        <f>TRIM(Raw_Data!C614)</f>
        <v>Metro</v>
      </c>
      <c r="D614" s="6">
        <f>DATEVALUE(TEXT(Raw_Data!D614, "YYYY-MM-DD"))</f>
        <v>46067</v>
      </c>
      <c r="E614" s="6">
        <f>IF(ISBLANK(Raw_Data!E614), "", DATEVALUE(TEXT(Raw_Data!E614, "YYYY-MM-DD")))</f>
        <v>46069</v>
      </c>
      <c r="F614" s="5">
        <f t="shared" si="1"/>
        <v>2</v>
      </c>
      <c r="G614" s="5">
        <f t="shared" si="2"/>
        <v>1</v>
      </c>
      <c r="H614" s="5" t="str">
        <f t="shared" si="3"/>
        <v>ON TIME</v>
      </c>
      <c r="I614" s="5">
        <f>Raw_Data!F614</f>
        <v>5112</v>
      </c>
      <c r="J614" s="5">
        <f t="shared" si="4"/>
        <v>0</v>
      </c>
    </row>
    <row r="615">
      <c r="A615" s="5" t="str">
        <f>Raw_Data!A615</f>
        <v>TRK100613</v>
      </c>
      <c r="B615" s="5" t="str">
        <f>TRIM(Raw_Data!B615)</f>
        <v>EcomExpress</v>
      </c>
      <c r="C615" s="5" t="str">
        <f>TRIM(Raw_Data!C615)</f>
        <v>Tier 2</v>
      </c>
      <c r="D615" s="6">
        <f>DATEVALUE(TEXT(Raw_Data!D615, "YYYY-MM-DD"))</f>
        <v>46068</v>
      </c>
      <c r="E615" s="6">
        <f>IF(ISBLANK(Raw_Data!E615), "", DATEVALUE(TEXT(Raw_Data!E615, "YYYY-MM-DD")))</f>
        <v>46072</v>
      </c>
      <c r="F615" s="5">
        <f t="shared" si="1"/>
        <v>4</v>
      </c>
      <c r="G615" s="5">
        <f t="shared" si="2"/>
        <v>4</v>
      </c>
      <c r="H615" s="5" t="str">
        <f t="shared" si="3"/>
        <v>ON TIME</v>
      </c>
      <c r="I615" s="5">
        <f>Raw_Data!F615</f>
        <v>10210</v>
      </c>
      <c r="J615" s="5">
        <f t="shared" si="4"/>
        <v>0</v>
      </c>
    </row>
    <row r="616">
      <c r="A616" s="5" t="str">
        <f>Raw_Data!A616</f>
        <v>TRK100614</v>
      </c>
      <c r="B616" s="5" t="str">
        <f>TRIM(Raw_Data!B616)</f>
        <v>EcomExpress</v>
      </c>
      <c r="C616" s="5" t="str">
        <f>TRIM(Raw_Data!C616)</f>
        <v>Tier 3</v>
      </c>
      <c r="D616" s="6">
        <f>DATEVALUE(TEXT(Raw_Data!D616, "YYYY-MM-DD"))</f>
        <v>46048</v>
      </c>
      <c r="E616" s="6">
        <f>IF(ISBLANK(Raw_Data!E616), "", DATEVALUE(TEXT(Raw_Data!E616, "YYYY-MM-DD")))</f>
        <v>46056</v>
      </c>
      <c r="F616" s="5">
        <f t="shared" si="1"/>
        <v>6</v>
      </c>
      <c r="G616" s="5">
        <f t="shared" si="2"/>
        <v>7</v>
      </c>
      <c r="H616" s="5" t="str">
        <f t="shared" si="3"/>
        <v>SLA BREACH</v>
      </c>
      <c r="I616" s="5">
        <f>Raw_Data!F616</f>
        <v>1698</v>
      </c>
      <c r="J616" s="5">
        <f t="shared" si="4"/>
        <v>84.9</v>
      </c>
    </row>
    <row r="617">
      <c r="A617" s="5" t="str">
        <f>Raw_Data!A617</f>
        <v>TRK100615</v>
      </c>
      <c r="B617" s="5" t="str">
        <f>TRIM(Raw_Data!B617)</f>
        <v>EcomExpress</v>
      </c>
      <c r="C617" s="5" t="str">
        <f>TRIM(Raw_Data!C617)</f>
        <v>Tier 2</v>
      </c>
      <c r="D617" s="6">
        <f>DATEVALUE(TEXT(Raw_Data!D617, "YYYY-MM-DD"))</f>
        <v>46058</v>
      </c>
      <c r="E617" s="6">
        <f>IF(ISBLANK(Raw_Data!E617), "", DATEVALUE(TEXT(Raw_Data!E617, "YYYY-MM-DD")))</f>
        <v>46065</v>
      </c>
      <c r="F617" s="5">
        <f t="shared" si="1"/>
        <v>4</v>
      </c>
      <c r="G617" s="5">
        <f t="shared" si="2"/>
        <v>6</v>
      </c>
      <c r="H617" s="5" t="str">
        <f t="shared" si="3"/>
        <v>SLA BREACH</v>
      </c>
      <c r="I617" s="5">
        <f>Raw_Data!F617</f>
        <v>5738</v>
      </c>
      <c r="J617" s="5">
        <f t="shared" si="4"/>
        <v>286.9</v>
      </c>
    </row>
    <row r="618">
      <c r="A618" s="5" t="str">
        <f>Raw_Data!A618</f>
        <v>TRK100616</v>
      </c>
      <c r="B618" s="5" t="str">
        <f>TRIM(Raw_Data!B618)</f>
        <v>EcomExpress</v>
      </c>
      <c r="C618" s="5" t="str">
        <f>TRIM(Raw_Data!C618)</f>
        <v>Tier 2</v>
      </c>
      <c r="D618" s="6">
        <f>DATEVALUE(TEXT(Raw_Data!D618, "YYYY-MM-DD"))</f>
        <v>46072</v>
      </c>
      <c r="E618" s="6">
        <f>IF(ISBLANK(Raw_Data!E618), "", DATEVALUE(TEXT(Raw_Data!E618, "YYYY-MM-DD")))</f>
        <v>46076</v>
      </c>
      <c r="F618" s="5">
        <f t="shared" si="1"/>
        <v>4</v>
      </c>
      <c r="G618" s="5">
        <f t="shared" si="2"/>
        <v>3</v>
      </c>
      <c r="H618" s="5" t="str">
        <f t="shared" si="3"/>
        <v>ON TIME</v>
      </c>
      <c r="I618" s="5">
        <f>Raw_Data!F618</f>
        <v>11166</v>
      </c>
      <c r="J618" s="5">
        <f t="shared" si="4"/>
        <v>0</v>
      </c>
    </row>
    <row r="619">
      <c r="A619" s="5" t="str">
        <f>Raw_Data!A619</f>
        <v>TRK100617</v>
      </c>
      <c r="B619" s="5" t="str">
        <f>TRIM(Raw_Data!B619)</f>
        <v>BlueDart</v>
      </c>
      <c r="C619" s="5" t="str">
        <f>TRIM(Raw_Data!C619)</f>
        <v>Metro</v>
      </c>
      <c r="D619" s="6">
        <f>DATEVALUE(TEXT(Raw_Data!D619, "YYYY-MM-DD"))</f>
        <v>46047</v>
      </c>
      <c r="E619" s="6">
        <f>IF(ISBLANK(Raw_Data!E619), "", DATEVALUE(TEXT(Raw_Data!E619, "YYYY-MM-DD")))</f>
        <v>46049</v>
      </c>
      <c r="F619" s="5">
        <f t="shared" si="1"/>
        <v>2</v>
      </c>
      <c r="G619" s="5">
        <f t="shared" si="2"/>
        <v>2</v>
      </c>
      <c r="H619" s="5" t="str">
        <f t="shared" si="3"/>
        <v>ON TIME</v>
      </c>
      <c r="I619" s="5">
        <f>Raw_Data!F619</f>
        <v>6589</v>
      </c>
      <c r="J619" s="5">
        <f t="shared" si="4"/>
        <v>0</v>
      </c>
    </row>
    <row r="620">
      <c r="A620" s="5" t="str">
        <f>Raw_Data!A620</f>
        <v>TRK100618</v>
      </c>
      <c r="B620" s="5" t="str">
        <f>TRIM(Raw_Data!B620)</f>
        <v>Delhivery</v>
      </c>
      <c r="C620" s="5" t="str">
        <f>TRIM(Raw_Data!C620)</f>
        <v>Tier 3</v>
      </c>
      <c r="D620" s="6">
        <f>DATEVALUE(TEXT(Raw_Data!D620, "YYYY-MM-DD"))</f>
        <v>46057</v>
      </c>
      <c r="E620" s="6">
        <f>IF(ISBLANK(Raw_Data!E620), "", DATEVALUE(TEXT(Raw_Data!E620, "YYYY-MM-DD")))</f>
        <v>46064</v>
      </c>
      <c r="F620" s="5">
        <f t="shared" si="1"/>
        <v>6</v>
      </c>
      <c r="G620" s="5">
        <f t="shared" si="2"/>
        <v>6</v>
      </c>
      <c r="H620" s="5" t="str">
        <f t="shared" si="3"/>
        <v>ON TIME</v>
      </c>
      <c r="I620" s="5">
        <f>Raw_Data!F620</f>
        <v>6757</v>
      </c>
      <c r="J620" s="5">
        <f t="shared" si="4"/>
        <v>0</v>
      </c>
    </row>
    <row r="621">
      <c r="A621" s="5" t="str">
        <f>Raw_Data!A621</f>
        <v>TRK100619</v>
      </c>
      <c r="B621" s="5" t="str">
        <f>TRIM(Raw_Data!B621)</f>
        <v>Delhivery</v>
      </c>
      <c r="C621" s="5" t="str">
        <f>TRIM(Raw_Data!C621)</f>
        <v>Tier 3</v>
      </c>
      <c r="D621" s="6">
        <f>DATEVALUE(TEXT(Raw_Data!D621, "YYYY-MM-DD"))</f>
        <v>46045</v>
      </c>
      <c r="E621" s="6">
        <f>IF(ISBLANK(Raw_Data!E621), "", DATEVALUE(TEXT(Raw_Data!E621, "YYYY-MM-DD")))</f>
        <v>46052</v>
      </c>
      <c r="F621" s="5">
        <f t="shared" si="1"/>
        <v>6</v>
      </c>
      <c r="G621" s="5">
        <f t="shared" si="2"/>
        <v>6</v>
      </c>
      <c r="H621" s="5" t="str">
        <f t="shared" si="3"/>
        <v>ON TIME</v>
      </c>
      <c r="I621" s="5">
        <f>Raw_Data!F621</f>
        <v>8205</v>
      </c>
      <c r="J621" s="5">
        <f t="shared" si="4"/>
        <v>0</v>
      </c>
    </row>
    <row r="622">
      <c r="A622" s="5" t="str">
        <f>Raw_Data!A622</f>
        <v>TRK100620</v>
      </c>
      <c r="B622" s="5" t="str">
        <f>TRIM(Raw_Data!B622)</f>
        <v>EcomExpress</v>
      </c>
      <c r="C622" s="5" t="str">
        <f>TRIM(Raw_Data!C622)</f>
        <v>Metro</v>
      </c>
      <c r="D622" s="6">
        <f>DATEVALUE(TEXT(Raw_Data!D622, "YYYY-MM-DD"))</f>
        <v>46039</v>
      </c>
      <c r="E622" s="6">
        <f>IF(ISBLANK(Raw_Data!E622), "", DATEVALUE(TEXT(Raw_Data!E622, "YYYY-MM-DD")))</f>
        <v>46041</v>
      </c>
      <c r="F622" s="5">
        <f t="shared" si="1"/>
        <v>2</v>
      </c>
      <c r="G622" s="5">
        <f t="shared" si="2"/>
        <v>1</v>
      </c>
      <c r="H622" s="5" t="str">
        <f t="shared" si="3"/>
        <v>ON TIME</v>
      </c>
      <c r="I622" s="5">
        <f>Raw_Data!F622</f>
        <v>4219</v>
      </c>
      <c r="J622" s="5">
        <f t="shared" si="4"/>
        <v>0</v>
      </c>
    </row>
    <row r="623">
      <c r="A623" s="5" t="str">
        <f>Raw_Data!A623</f>
        <v>TRK100621</v>
      </c>
      <c r="B623" s="5" t="str">
        <f>TRIM(Raw_Data!B623)</f>
        <v>BlueDart</v>
      </c>
      <c r="C623" s="5" t="str">
        <f>TRIM(Raw_Data!C623)</f>
        <v>Metro</v>
      </c>
      <c r="D623" s="6">
        <f>DATEVALUE(TEXT(Raw_Data!D623, "YYYY-MM-DD"))</f>
        <v>46055</v>
      </c>
      <c r="E623" s="6">
        <f>IF(ISBLANK(Raw_Data!E623), "", DATEVALUE(TEXT(Raw_Data!E623, "YYYY-MM-DD")))</f>
        <v>46057</v>
      </c>
      <c r="F623" s="5">
        <f t="shared" si="1"/>
        <v>2</v>
      </c>
      <c r="G623" s="5">
        <f t="shared" si="2"/>
        <v>3</v>
      </c>
      <c r="H623" s="5" t="str">
        <f t="shared" si="3"/>
        <v>SLA BREACH</v>
      </c>
      <c r="I623" s="5">
        <f>Raw_Data!F623</f>
        <v>802</v>
      </c>
      <c r="J623" s="5">
        <f t="shared" si="4"/>
        <v>40.1</v>
      </c>
    </row>
    <row r="624">
      <c r="A624" s="5" t="str">
        <f>Raw_Data!A624</f>
        <v>TRK100622</v>
      </c>
      <c r="B624" s="5" t="str">
        <f>TRIM(Raw_Data!B624)</f>
        <v>Delhivery</v>
      </c>
      <c r="C624" s="5" t="str">
        <f>TRIM(Raw_Data!C624)</f>
        <v>Tier 3</v>
      </c>
      <c r="D624" s="6">
        <f>DATEVALUE(TEXT(Raw_Data!D624, "YYYY-MM-DD"))</f>
        <v>46052</v>
      </c>
      <c r="E624" s="6">
        <f>IF(ISBLANK(Raw_Data!E624), "", DATEVALUE(TEXT(Raw_Data!E624, "YYYY-MM-DD")))</f>
        <v>46058</v>
      </c>
      <c r="F624" s="5">
        <f t="shared" si="1"/>
        <v>6</v>
      </c>
      <c r="G624" s="5">
        <f t="shared" si="2"/>
        <v>5</v>
      </c>
      <c r="H624" s="5" t="str">
        <f t="shared" si="3"/>
        <v>ON TIME</v>
      </c>
      <c r="I624" s="5">
        <f>Raw_Data!F624</f>
        <v>1486</v>
      </c>
      <c r="J624" s="5">
        <f t="shared" si="4"/>
        <v>0</v>
      </c>
    </row>
    <row r="625">
      <c r="A625" s="5" t="str">
        <f>Raw_Data!A625</f>
        <v>TRK100623</v>
      </c>
      <c r="B625" s="5" t="str">
        <f>TRIM(Raw_Data!B625)</f>
        <v>Delhivery</v>
      </c>
      <c r="C625" s="5" t="str">
        <f>TRIM(Raw_Data!C625)</f>
        <v>Tier 2</v>
      </c>
      <c r="D625" s="6">
        <f>DATEVALUE(TEXT(Raw_Data!D625, "YYYY-MM-DD"))</f>
        <v>46074</v>
      </c>
      <c r="E625" s="6">
        <f>IF(ISBLANK(Raw_Data!E625), "", DATEVALUE(TEXT(Raw_Data!E625, "YYYY-MM-DD")))</f>
        <v>46078</v>
      </c>
      <c r="F625" s="5">
        <f t="shared" si="1"/>
        <v>4</v>
      </c>
      <c r="G625" s="5">
        <f t="shared" si="2"/>
        <v>3</v>
      </c>
      <c r="H625" s="5" t="str">
        <f t="shared" si="3"/>
        <v>ON TIME</v>
      </c>
      <c r="I625" s="5">
        <f>Raw_Data!F625</f>
        <v>10555</v>
      </c>
      <c r="J625" s="5">
        <f t="shared" si="4"/>
        <v>0</v>
      </c>
    </row>
    <row r="626">
      <c r="A626" s="5" t="str">
        <f>Raw_Data!A626</f>
        <v>TRK100624</v>
      </c>
      <c r="B626" s="5" t="str">
        <f>TRIM(Raw_Data!B626)</f>
        <v>Delhivery</v>
      </c>
      <c r="C626" s="5" t="str">
        <f>TRIM(Raw_Data!C626)</f>
        <v>Metro</v>
      </c>
      <c r="D626" s="6">
        <f>DATEVALUE(TEXT(Raw_Data!D626, "YYYY-MM-DD"))</f>
        <v>46053</v>
      </c>
      <c r="E626" s="6">
        <f>IF(ISBLANK(Raw_Data!E626), "", DATEVALUE(TEXT(Raw_Data!E626, "YYYY-MM-DD")))</f>
        <v>46055</v>
      </c>
      <c r="F626" s="5">
        <f t="shared" si="1"/>
        <v>2</v>
      </c>
      <c r="G626" s="5">
        <f t="shared" si="2"/>
        <v>1</v>
      </c>
      <c r="H626" s="5" t="str">
        <f t="shared" si="3"/>
        <v>ON TIME</v>
      </c>
      <c r="I626" s="5">
        <f>Raw_Data!F626</f>
        <v>4940</v>
      </c>
      <c r="J626" s="5">
        <f t="shared" si="4"/>
        <v>0</v>
      </c>
    </row>
    <row r="627">
      <c r="A627" s="5" t="str">
        <f>Raw_Data!A627</f>
        <v>TRK100625</v>
      </c>
      <c r="B627" s="5" t="str">
        <f>TRIM(Raw_Data!B627)</f>
        <v>Delhivery</v>
      </c>
      <c r="C627" s="5" t="str">
        <f>TRIM(Raw_Data!C627)</f>
        <v>Metro</v>
      </c>
      <c r="D627" s="6">
        <f>DATEVALUE(TEXT(Raw_Data!D627, "YYYY-MM-DD"))</f>
        <v>46076</v>
      </c>
      <c r="E627" s="6">
        <f>IF(ISBLANK(Raw_Data!E627), "", DATEVALUE(TEXT(Raw_Data!E627, "YYYY-MM-DD")))</f>
        <v>46078</v>
      </c>
      <c r="F627" s="5">
        <f t="shared" si="1"/>
        <v>2</v>
      </c>
      <c r="G627" s="5">
        <f t="shared" si="2"/>
        <v>3</v>
      </c>
      <c r="H627" s="5" t="str">
        <f t="shared" si="3"/>
        <v>SLA BREACH</v>
      </c>
      <c r="I627" s="5">
        <f>Raw_Data!F627</f>
        <v>5409</v>
      </c>
      <c r="J627" s="5">
        <f t="shared" si="4"/>
        <v>270.45</v>
      </c>
    </row>
    <row r="628">
      <c r="A628" s="5" t="str">
        <f>Raw_Data!A628</f>
        <v>TRK100626</v>
      </c>
      <c r="B628" s="5" t="str">
        <f>TRIM(Raw_Data!B628)</f>
        <v>Delhivery</v>
      </c>
      <c r="C628" s="5" t="str">
        <f>TRIM(Raw_Data!C628)</f>
        <v>Tier 2</v>
      </c>
      <c r="D628" s="6">
        <f>DATEVALUE(TEXT(Raw_Data!D628, "YYYY-MM-DD"))</f>
        <v>46081</v>
      </c>
      <c r="E628" s="6">
        <f>IF(ISBLANK(Raw_Data!E628), "", DATEVALUE(TEXT(Raw_Data!E628, "YYYY-MM-DD")))</f>
        <v>46085</v>
      </c>
      <c r="F628" s="5">
        <f t="shared" si="1"/>
        <v>4</v>
      </c>
      <c r="G628" s="5">
        <f t="shared" si="2"/>
        <v>3</v>
      </c>
      <c r="H628" s="5" t="str">
        <f t="shared" si="3"/>
        <v>ON TIME</v>
      </c>
      <c r="I628" s="5">
        <f>Raw_Data!F628</f>
        <v>3572</v>
      </c>
      <c r="J628" s="5">
        <f t="shared" si="4"/>
        <v>0</v>
      </c>
    </row>
    <row r="629">
      <c r="A629" s="5" t="str">
        <f>Raw_Data!A629</f>
        <v>TRK100627</v>
      </c>
      <c r="B629" s="5" t="str">
        <f>TRIM(Raw_Data!B629)</f>
        <v>Delhivery</v>
      </c>
      <c r="C629" s="5" t="str">
        <f>TRIM(Raw_Data!C629)</f>
        <v>Tier 3</v>
      </c>
      <c r="D629" s="6">
        <f>DATEVALUE(TEXT(Raw_Data!D629, "YYYY-MM-DD"))</f>
        <v>46046</v>
      </c>
      <c r="E629" s="6" t="str">
        <f>IF(ISBLANK(Raw_Data!E629), "", DATEVALUE(TEXT(Raw_Data!E629, "YYYY-MM-DD")))</f>
        <v/>
      </c>
      <c r="F629" s="5">
        <f t="shared" si="1"/>
        <v>6</v>
      </c>
      <c r="G629" s="5" t="str">
        <f t="shared" si="2"/>
        <v>In-Transit</v>
      </c>
      <c r="H629" s="5" t="str">
        <f t="shared" si="3"/>
        <v>Pending</v>
      </c>
      <c r="I629" s="5">
        <f>Raw_Data!F629</f>
        <v>3624</v>
      </c>
      <c r="J629" s="5">
        <f t="shared" si="4"/>
        <v>0</v>
      </c>
    </row>
    <row r="630">
      <c r="A630" s="5" t="str">
        <f>Raw_Data!A630</f>
        <v>TRK100628</v>
      </c>
      <c r="B630" s="5" t="str">
        <f>TRIM(Raw_Data!B630)</f>
        <v>BlueDart</v>
      </c>
      <c r="C630" s="5" t="str">
        <f>TRIM(Raw_Data!C630)</f>
        <v>Tier 2</v>
      </c>
      <c r="D630" s="6">
        <f>DATEVALUE(TEXT(Raw_Data!D630, "YYYY-MM-DD"))</f>
        <v>46049</v>
      </c>
      <c r="E630" s="6">
        <f>IF(ISBLANK(Raw_Data!E630), "", DATEVALUE(TEXT(Raw_Data!E630, "YYYY-MM-DD")))</f>
        <v>46053</v>
      </c>
      <c r="F630" s="5">
        <f t="shared" si="1"/>
        <v>4</v>
      </c>
      <c r="G630" s="5">
        <f t="shared" si="2"/>
        <v>4</v>
      </c>
      <c r="H630" s="5" t="str">
        <f t="shared" si="3"/>
        <v>ON TIME</v>
      </c>
      <c r="I630" s="5">
        <f>Raw_Data!F630</f>
        <v>10019</v>
      </c>
      <c r="J630" s="5">
        <f t="shared" si="4"/>
        <v>0</v>
      </c>
    </row>
    <row r="631">
      <c r="A631" s="5" t="str">
        <f>Raw_Data!A631</f>
        <v>TRK100629</v>
      </c>
      <c r="B631" s="5" t="str">
        <f>TRIM(Raw_Data!B631)</f>
        <v>EcomExpress</v>
      </c>
      <c r="C631" s="5" t="str">
        <f>TRIM(Raw_Data!C631)</f>
        <v>Metro</v>
      </c>
      <c r="D631" s="6">
        <f>DATEVALUE(TEXT(Raw_Data!D631, "YYYY-MM-DD"))</f>
        <v>46059</v>
      </c>
      <c r="E631" s="6">
        <f>IF(ISBLANK(Raw_Data!E631), "", DATEVALUE(TEXT(Raw_Data!E631, "YYYY-MM-DD")))</f>
        <v>46061</v>
      </c>
      <c r="F631" s="5">
        <f t="shared" si="1"/>
        <v>2</v>
      </c>
      <c r="G631" s="5">
        <f t="shared" si="2"/>
        <v>1</v>
      </c>
      <c r="H631" s="5" t="str">
        <f t="shared" si="3"/>
        <v>ON TIME</v>
      </c>
      <c r="I631" s="5">
        <f>Raw_Data!F631</f>
        <v>11100</v>
      </c>
      <c r="J631" s="5">
        <f t="shared" si="4"/>
        <v>0</v>
      </c>
    </row>
    <row r="632">
      <c r="A632" s="5" t="str">
        <f>Raw_Data!A632</f>
        <v>TRK100630</v>
      </c>
      <c r="B632" s="5" t="str">
        <f>TRIM(Raw_Data!B632)</f>
        <v>Delhivery</v>
      </c>
      <c r="C632" s="5" t="str">
        <f>TRIM(Raw_Data!C632)</f>
        <v>Tier 2</v>
      </c>
      <c r="D632" s="6">
        <f>DATEVALUE(TEXT(Raw_Data!D632, "YYYY-MM-DD"))</f>
        <v>46070</v>
      </c>
      <c r="E632" s="6">
        <f>IF(ISBLANK(Raw_Data!E632), "", DATEVALUE(TEXT(Raw_Data!E632, "YYYY-MM-DD")))</f>
        <v>46075</v>
      </c>
      <c r="F632" s="5">
        <f t="shared" si="1"/>
        <v>4</v>
      </c>
      <c r="G632" s="5">
        <f t="shared" si="2"/>
        <v>4</v>
      </c>
      <c r="H632" s="5" t="str">
        <f t="shared" si="3"/>
        <v>ON TIME</v>
      </c>
      <c r="I632" s="5">
        <f>Raw_Data!F632</f>
        <v>8625</v>
      </c>
      <c r="J632" s="5">
        <f t="shared" si="4"/>
        <v>0</v>
      </c>
    </row>
    <row r="633">
      <c r="A633" s="5" t="str">
        <f>Raw_Data!A633</f>
        <v>TRK100631</v>
      </c>
      <c r="B633" s="5" t="str">
        <f>TRIM(Raw_Data!B633)</f>
        <v>BlueDart</v>
      </c>
      <c r="C633" s="5" t="str">
        <f>TRIM(Raw_Data!C633)</f>
        <v>Tier 3</v>
      </c>
      <c r="D633" s="6">
        <f>DATEVALUE(TEXT(Raw_Data!D633, "YYYY-MM-DD"))</f>
        <v>46024</v>
      </c>
      <c r="E633" s="6">
        <f>IF(ISBLANK(Raw_Data!E633), "", DATEVALUE(TEXT(Raw_Data!E633, "YYYY-MM-DD")))</f>
        <v>46032</v>
      </c>
      <c r="F633" s="5">
        <f t="shared" si="1"/>
        <v>6</v>
      </c>
      <c r="G633" s="5">
        <f t="shared" si="2"/>
        <v>6</v>
      </c>
      <c r="H633" s="5" t="str">
        <f t="shared" si="3"/>
        <v>ON TIME</v>
      </c>
      <c r="I633" s="5">
        <f>Raw_Data!F633</f>
        <v>3791</v>
      </c>
      <c r="J633" s="5">
        <f t="shared" si="4"/>
        <v>0</v>
      </c>
    </row>
    <row r="634">
      <c r="A634" s="5" t="str">
        <f>Raw_Data!A634</f>
        <v>TRK100632</v>
      </c>
      <c r="B634" s="5" t="str">
        <f>TRIM(Raw_Data!B634)</f>
        <v>BlueDart</v>
      </c>
      <c r="C634" s="5" t="str">
        <f>TRIM(Raw_Data!C634)</f>
        <v>Metro</v>
      </c>
      <c r="D634" s="6">
        <f>DATEVALUE(TEXT(Raw_Data!D634, "YYYY-MM-DD"))</f>
        <v>46058</v>
      </c>
      <c r="E634" s="6">
        <f>IF(ISBLANK(Raw_Data!E634), "", DATEVALUE(TEXT(Raw_Data!E634, "YYYY-MM-DD")))</f>
        <v>46060</v>
      </c>
      <c r="F634" s="5">
        <f t="shared" si="1"/>
        <v>2</v>
      </c>
      <c r="G634" s="5">
        <f t="shared" si="2"/>
        <v>2</v>
      </c>
      <c r="H634" s="5" t="str">
        <f t="shared" si="3"/>
        <v>ON TIME</v>
      </c>
      <c r="I634" s="5">
        <f>Raw_Data!F634</f>
        <v>4533</v>
      </c>
      <c r="J634" s="5">
        <f t="shared" si="4"/>
        <v>0</v>
      </c>
    </row>
    <row r="635">
      <c r="A635" s="5" t="str">
        <f>Raw_Data!A635</f>
        <v>TRK100633</v>
      </c>
      <c r="B635" s="5" t="str">
        <f>TRIM(Raw_Data!B635)</f>
        <v>EcomExpress</v>
      </c>
      <c r="C635" s="5" t="str">
        <f>TRIM(Raw_Data!C635)</f>
        <v>Tier 2</v>
      </c>
      <c r="D635" s="6">
        <f>DATEVALUE(TEXT(Raw_Data!D635, "YYYY-MM-DD"))</f>
        <v>46060</v>
      </c>
      <c r="E635" s="6">
        <f>IF(ISBLANK(Raw_Data!E635), "", DATEVALUE(TEXT(Raw_Data!E635, "YYYY-MM-DD")))</f>
        <v>46064</v>
      </c>
      <c r="F635" s="5">
        <f t="shared" si="1"/>
        <v>4</v>
      </c>
      <c r="G635" s="5">
        <f t="shared" si="2"/>
        <v>3</v>
      </c>
      <c r="H635" s="5" t="str">
        <f t="shared" si="3"/>
        <v>ON TIME</v>
      </c>
      <c r="I635" s="5">
        <f>Raw_Data!F635</f>
        <v>5605</v>
      </c>
      <c r="J635" s="5">
        <f t="shared" si="4"/>
        <v>0</v>
      </c>
    </row>
    <row r="636">
      <c r="A636" s="5" t="str">
        <f>Raw_Data!A636</f>
        <v>TRK100634</v>
      </c>
      <c r="B636" s="5" t="str">
        <f>TRIM(Raw_Data!B636)</f>
        <v>EcomExpress</v>
      </c>
      <c r="C636" s="5" t="str">
        <f>TRIM(Raw_Data!C636)</f>
        <v>Tier 3</v>
      </c>
      <c r="D636" s="6">
        <f>DATEVALUE(TEXT(Raw_Data!D636, "YYYY-MM-DD"))</f>
        <v>46049</v>
      </c>
      <c r="E636" s="6" t="str">
        <f>IF(ISBLANK(Raw_Data!E636), "", DATEVALUE(TEXT(Raw_Data!E636, "YYYY-MM-DD")))</f>
        <v/>
      </c>
      <c r="F636" s="5">
        <f t="shared" si="1"/>
        <v>6</v>
      </c>
      <c r="G636" s="5" t="str">
        <f t="shared" si="2"/>
        <v>In-Transit</v>
      </c>
      <c r="H636" s="5" t="str">
        <f t="shared" si="3"/>
        <v>Pending</v>
      </c>
      <c r="I636" s="5">
        <f>Raw_Data!F636</f>
        <v>1203</v>
      </c>
      <c r="J636" s="5">
        <f t="shared" si="4"/>
        <v>0</v>
      </c>
    </row>
    <row r="637">
      <c r="A637" s="5" t="str">
        <f>Raw_Data!A637</f>
        <v>TRK100635</v>
      </c>
      <c r="B637" s="5" t="str">
        <f>TRIM(Raw_Data!B637)</f>
        <v>Delhivery</v>
      </c>
      <c r="C637" s="5" t="str">
        <f>TRIM(Raw_Data!C637)</f>
        <v>Tier 3</v>
      </c>
      <c r="D637" s="6">
        <f>DATEVALUE(TEXT(Raw_Data!D637, "YYYY-MM-DD"))</f>
        <v>46032</v>
      </c>
      <c r="E637" s="6" t="str">
        <f>IF(ISBLANK(Raw_Data!E637), "", DATEVALUE(TEXT(Raw_Data!E637, "YYYY-MM-DD")))</f>
        <v/>
      </c>
      <c r="F637" s="5">
        <f t="shared" si="1"/>
        <v>6</v>
      </c>
      <c r="G637" s="5" t="str">
        <f t="shared" si="2"/>
        <v>In-Transit</v>
      </c>
      <c r="H637" s="5" t="str">
        <f t="shared" si="3"/>
        <v>Pending</v>
      </c>
      <c r="I637" s="5">
        <f>Raw_Data!F637</f>
        <v>8633</v>
      </c>
      <c r="J637" s="5">
        <f t="shared" si="4"/>
        <v>0</v>
      </c>
    </row>
    <row r="638">
      <c r="A638" s="5" t="str">
        <f>Raw_Data!A638</f>
        <v>TRK100636</v>
      </c>
      <c r="B638" s="5" t="str">
        <f>TRIM(Raw_Data!B638)</f>
        <v>EcomExpress</v>
      </c>
      <c r="C638" s="5" t="str">
        <f>TRIM(Raw_Data!C638)</f>
        <v>Tier 3</v>
      </c>
      <c r="D638" s="6">
        <f>DATEVALUE(TEXT(Raw_Data!D638, "YYYY-MM-DD"))</f>
        <v>46044</v>
      </c>
      <c r="E638" s="6">
        <f>IF(ISBLANK(Raw_Data!E638), "", DATEVALUE(TEXT(Raw_Data!E638, "YYYY-MM-DD")))</f>
        <v>46050</v>
      </c>
      <c r="F638" s="5">
        <f t="shared" si="1"/>
        <v>6</v>
      </c>
      <c r="G638" s="5">
        <f t="shared" si="2"/>
        <v>5</v>
      </c>
      <c r="H638" s="5" t="str">
        <f t="shared" si="3"/>
        <v>ON TIME</v>
      </c>
      <c r="I638" s="5">
        <f>Raw_Data!F638</f>
        <v>1074</v>
      </c>
      <c r="J638" s="5">
        <f t="shared" si="4"/>
        <v>0</v>
      </c>
    </row>
    <row r="639">
      <c r="A639" s="5" t="str">
        <f>Raw_Data!A639</f>
        <v>TRK100637</v>
      </c>
      <c r="B639" s="5" t="str">
        <f>TRIM(Raw_Data!B639)</f>
        <v>EcomExpress</v>
      </c>
      <c r="C639" s="5" t="str">
        <f>TRIM(Raw_Data!C639)</f>
        <v>Tier 3</v>
      </c>
      <c r="D639" s="6">
        <f>DATEVALUE(TEXT(Raw_Data!D639, "YYYY-MM-DD"))</f>
        <v>46047</v>
      </c>
      <c r="E639" s="6">
        <f>IF(ISBLANK(Raw_Data!E639), "", DATEVALUE(TEXT(Raw_Data!E639, "YYYY-MM-DD")))</f>
        <v>46053</v>
      </c>
      <c r="F639" s="5">
        <f t="shared" si="1"/>
        <v>6</v>
      </c>
      <c r="G639" s="5">
        <f t="shared" si="2"/>
        <v>5</v>
      </c>
      <c r="H639" s="5" t="str">
        <f t="shared" si="3"/>
        <v>ON TIME</v>
      </c>
      <c r="I639" s="5">
        <f>Raw_Data!F639</f>
        <v>6204</v>
      </c>
      <c r="J639" s="5">
        <f t="shared" si="4"/>
        <v>0</v>
      </c>
    </row>
    <row r="640">
      <c r="A640" s="5" t="str">
        <f>Raw_Data!A640</f>
        <v>TRK100638</v>
      </c>
      <c r="B640" s="5" t="str">
        <f>TRIM(Raw_Data!B640)</f>
        <v>BlueDart</v>
      </c>
      <c r="C640" s="5" t="str">
        <f>TRIM(Raw_Data!C640)</f>
        <v>Tier 3</v>
      </c>
      <c r="D640" s="6">
        <f>DATEVALUE(TEXT(Raw_Data!D640, "YYYY-MM-DD"))</f>
        <v>46076</v>
      </c>
      <c r="E640" s="6">
        <f>IF(ISBLANK(Raw_Data!E640), "", DATEVALUE(TEXT(Raw_Data!E640, "YYYY-MM-DD")))</f>
        <v>46082</v>
      </c>
      <c r="F640" s="5">
        <f t="shared" si="1"/>
        <v>6</v>
      </c>
      <c r="G640" s="5">
        <f t="shared" si="2"/>
        <v>5</v>
      </c>
      <c r="H640" s="5" t="str">
        <f t="shared" si="3"/>
        <v>ON TIME</v>
      </c>
      <c r="I640" s="5">
        <f>Raw_Data!F640</f>
        <v>11924</v>
      </c>
      <c r="J640" s="5">
        <f t="shared" si="4"/>
        <v>0</v>
      </c>
    </row>
    <row r="641">
      <c r="A641" s="5" t="str">
        <f>Raw_Data!A641</f>
        <v>TRK100639</v>
      </c>
      <c r="B641" s="5" t="str">
        <f>TRIM(Raw_Data!B641)</f>
        <v>BlueDart</v>
      </c>
      <c r="C641" s="5" t="str">
        <f>TRIM(Raw_Data!C641)</f>
        <v>Tier 3</v>
      </c>
      <c r="D641" s="6">
        <f>DATEVALUE(TEXT(Raw_Data!D641, "YYYY-MM-DD"))</f>
        <v>46054</v>
      </c>
      <c r="E641" s="6">
        <f>IF(ISBLANK(Raw_Data!E641), "", DATEVALUE(TEXT(Raw_Data!E641, "YYYY-MM-DD")))</f>
        <v>46060</v>
      </c>
      <c r="F641" s="5">
        <f t="shared" si="1"/>
        <v>6</v>
      </c>
      <c r="G641" s="5">
        <f t="shared" si="2"/>
        <v>5</v>
      </c>
      <c r="H641" s="5" t="str">
        <f t="shared" si="3"/>
        <v>ON TIME</v>
      </c>
      <c r="I641" s="5">
        <f>Raw_Data!F641</f>
        <v>8348</v>
      </c>
      <c r="J641" s="5">
        <f t="shared" si="4"/>
        <v>0</v>
      </c>
    </row>
    <row r="642">
      <c r="A642" s="5" t="str">
        <f>Raw_Data!A642</f>
        <v>TRK100640</v>
      </c>
      <c r="B642" s="5" t="str">
        <f>TRIM(Raw_Data!B642)</f>
        <v>BlueDart</v>
      </c>
      <c r="C642" s="5" t="str">
        <f>TRIM(Raw_Data!C642)</f>
        <v>Metro</v>
      </c>
      <c r="D642" s="6">
        <f>DATEVALUE(TEXT(Raw_Data!D642, "YYYY-MM-DD"))</f>
        <v>46064</v>
      </c>
      <c r="E642" s="6">
        <f>IF(ISBLANK(Raw_Data!E642), "", DATEVALUE(TEXT(Raw_Data!E642, "YYYY-MM-DD")))</f>
        <v>46066</v>
      </c>
      <c r="F642" s="5">
        <f t="shared" si="1"/>
        <v>2</v>
      </c>
      <c r="G642" s="5">
        <f t="shared" si="2"/>
        <v>3</v>
      </c>
      <c r="H642" s="5" t="str">
        <f t="shared" si="3"/>
        <v>SLA BREACH</v>
      </c>
      <c r="I642" s="5">
        <f>Raw_Data!F642</f>
        <v>5708</v>
      </c>
      <c r="J642" s="5">
        <f t="shared" si="4"/>
        <v>285.4</v>
      </c>
    </row>
    <row r="643">
      <c r="A643" s="5" t="str">
        <f>Raw_Data!A643</f>
        <v>TRK100641</v>
      </c>
      <c r="B643" s="5" t="str">
        <f>TRIM(Raw_Data!B643)</f>
        <v>Delhivery</v>
      </c>
      <c r="C643" s="5" t="str">
        <f>TRIM(Raw_Data!C643)</f>
        <v>Tier 3</v>
      </c>
      <c r="D643" s="6">
        <f>DATEVALUE(TEXT(Raw_Data!D643, "YYYY-MM-DD"))</f>
        <v>46044</v>
      </c>
      <c r="E643" s="6">
        <f>IF(ISBLANK(Raw_Data!E643), "", DATEVALUE(TEXT(Raw_Data!E643, "YYYY-MM-DD")))</f>
        <v>46050</v>
      </c>
      <c r="F643" s="5">
        <f t="shared" si="1"/>
        <v>6</v>
      </c>
      <c r="G643" s="5">
        <f t="shared" si="2"/>
        <v>5</v>
      </c>
      <c r="H643" s="5" t="str">
        <f t="shared" si="3"/>
        <v>ON TIME</v>
      </c>
      <c r="I643" s="5">
        <f>Raw_Data!F643</f>
        <v>7424</v>
      </c>
      <c r="J643" s="5">
        <f t="shared" si="4"/>
        <v>0</v>
      </c>
    </row>
    <row r="644">
      <c r="A644" s="5" t="str">
        <f>Raw_Data!A644</f>
        <v>TRK100642</v>
      </c>
      <c r="B644" s="5" t="str">
        <f>TRIM(Raw_Data!B644)</f>
        <v>Delhivery</v>
      </c>
      <c r="C644" s="5" t="str">
        <f>TRIM(Raw_Data!C644)</f>
        <v>Tier 3</v>
      </c>
      <c r="D644" s="6">
        <f>DATEVALUE(TEXT(Raw_Data!D644, "YYYY-MM-DD"))</f>
        <v>46071</v>
      </c>
      <c r="E644" s="6">
        <f>IF(ISBLANK(Raw_Data!E644), "", DATEVALUE(TEXT(Raw_Data!E644, "YYYY-MM-DD")))</f>
        <v>46077</v>
      </c>
      <c r="F644" s="5">
        <f t="shared" si="1"/>
        <v>6</v>
      </c>
      <c r="G644" s="5">
        <f t="shared" si="2"/>
        <v>5</v>
      </c>
      <c r="H644" s="5" t="str">
        <f t="shared" si="3"/>
        <v>ON TIME</v>
      </c>
      <c r="I644" s="5">
        <f>Raw_Data!F644</f>
        <v>11324</v>
      </c>
      <c r="J644" s="5">
        <f t="shared" si="4"/>
        <v>0</v>
      </c>
    </row>
    <row r="645">
      <c r="A645" s="5" t="str">
        <f>Raw_Data!A645</f>
        <v>TRK100643</v>
      </c>
      <c r="B645" s="5" t="str">
        <f>TRIM(Raw_Data!B645)</f>
        <v>EcomExpress</v>
      </c>
      <c r="C645" s="5" t="str">
        <f>TRIM(Raw_Data!C645)</f>
        <v>Tier 3</v>
      </c>
      <c r="D645" s="6">
        <f>DATEVALUE(TEXT(Raw_Data!D645, "YYYY-MM-DD"))</f>
        <v>46069</v>
      </c>
      <c r="E645" s="6">
        <f>IF(ISBLANK(Raw_Data!E645), "", DATEVALUE(TEXT(Raw_Data!E645, "YYYY-MM-DD")))</f>
        <v>46075</v>
      </c>
      <c r="F645" s="5">
        <f t="shared" si="1"/>
        <v>6</v>
      </c>
      <c r="G645" s="5">
        <f t="shared" si="2"/>
        <v>5</v>
      </c>
      <c r="H645" s="5" t="str">
        <f t="shared" si="3"/>
        <v>ON TIME</v>
      </c>
      <c r="I645" s="5">
        <f>Raw_Data!F645</f>
        <v>4328</v>
      </c>
      <c r="J645" s="5">
        <f t="shared" si="4"/>
        <v>0</v>
      </c>
    </row>
    <row r="646">
      <c r="A646" s="5" t="str">
        <f>Raw_Data!A646</f>
        <v>TRK100644</v>
      </c>
      <c r="B646" s="5" t="str">
        <f>TRIM(Raw_Data!B646)</f>
        <v>EcomExpress</v>
      </c>
      <c r="C646" s="5" t="str">
        <f>TRIM(Raw_Data!C646)</f>
        <v>Tier 2</v>
      </c>
      <c r="D646" s="6">
        <f>DATEVALUE(TEXT(Raw_Data!D646, "YYYY-MM-DD"))</f>
        <v>46070</v>
      </c>
      <c r="E646" s="6">
        <f>IF(ISBLANK(Raw_Data!E646), "", DATEVALUE(TEXT(Raw_Data!E646, "YYYY-MM-DD")))</f>
        <v>46074</v>
      </c>
      <c r="F646" s="5">
        <f t="shared" si="1"/>
        <v>4</v>
      </c>
      <c r="G646" s="5">
        <f t="shared" si="2"/>
        <v>4</v>
      </c>
      <c r="H646" s="5" t="str">
        <f t="shared" si="3"/>
        <v>ON TIME</v>
      </c>
      <c r="I646" s="5">
        <f>Raw_Data!F646</f>
        <v>3730</v>
      </c>
      <c r="J646" s="5">
        <f t="shared" si="4"/>
        <v>0</v>
      </c>
    </row>
    <row r="647">
      <c r="A647" s="5" t="str">
        <f>Raw_Data!A647</f>
        <v>TRK100645</v>
      </c>
      <c r="B647" s="5" t="str">
        <f>TRIM(Raw_Data!B647)</f>
        <v>Delhivery</v>
      </c>
      <c r="C647" s="5" t="str">
        <f>TRIM(Raw_Data!C647)</f>
        <v>Metro</v>
      </c>
      <c r="D647" s="6">
        <f>DATEVALUE(TEXT(Raw_Data!D647, "YYYY-MM-DD"))</f>
        <v>46052</v>
      </c>
      <c r="E647" s="6">
        <f>IF(ISBLANK(Raw_Data!E647), "", DATEVALUE(TEXT(Raw_Data!E647, "YYYY-MM-DD")))</f>
        <v>46056</v>
      </c>
      <c r="F647" s="5">
        <f t="shared" si="1"/>
        <v>2</v>
      </c>
      <c r="G647" s="5">
        <f t="shared" si="2"/>
        <v>3</v>
      </c>
      <c r="H647" s="5" t="str">
        <f t="shared" si="3"/>
        <v>SLA BREACH</v>
      </c>
      <c r="I647" s="5">
        <f>Raw_Data!F647</f>
        <v>988</v>
      </c>
      <c r="J647" s="5">
        <f t="shared" si="4"/>
        <v>49.4</v>
      </c>
    </row>
    <row r="648">
      <c r="A648" s="5" t="str">
        <f>Raw_Data!A648</f>
        <v>TRK100646</v>
      </c>
      <c r="B648" s="5" t="str">
        <f>TRIM(Raw_Data!B648)</f>
        <v>Delhivery</v>
      </c>
      <c r="C648" s="5" t="str">
        <f>TRIM(Raw_Data!C648)</f>
        <v>Metro</v>
      </c>
      <c r="D648" s="6">
        <f>DATEVALUE(TEXT(Raw_Data!D648, "YYYY-MM-DD"))</f>
        <v>46069</v>
      </c>
      <c r="E648" s="6">
        <f>IF(ISBLANK(Raw_Data!E648), "", DATEVALUE(TEXT(Raw_Data!E648, "YYYY-MM-DD")))</f>
        <v>46071</v>
      </c>
      <c r="F648" s="5">
        <f t="shared" si="1"/>
        <v>2</v>
      </c>
      <c r="G648" s="5">
        <f t="shared" si="2"/>
        <v>3</v>
      </c>
      <c r="H648" s="5" t="str">
        <f t="shared" si="3"/>
        <v>SLA BREACH</v>
      </c>
      <c r="I648" s="5">
        <f>Raw_Data!F648</f>
        <v>7614</v>
      </c>
      <c r="J648" s="5">
        <f t="shared" si="4"/>
        <v>380.7</v>
      </c>
    </row>
    <row r="649">
      <c r="A649" s="5" t="str">
        <f>Raw_Data!A649</f>
        <v>TRK100647</v>
      </c>
      <c r="B649" s="5" t="str">
        <f>TRIM(Raw_Data!B649)</f>
        <v>BlueDart</v>
      </c>
      <c r="C649" s="5" t="str">
        <f>TRIM(Raw_Data!C649)</f>
        <v>Tier 2</v>
      </c>
      <c r="D649" s="6">
        <f>DATEVALUE(TEXT(Raw_Data!D649, "YYYY-MM-DD"))</f>
        <v>46045</v>
      </c>
      <c r="E649" s="6">
        <f>IF(ISBLANK(Raw_Data!E649), "", DATEVALUE(TEXT(Raw_Data!E649, "YYYY-MM-DD")))</f>
        <v>46049</v>
      </c>
      <c r="F649" s="5">
        <f t="shared" si="1"/>
        <v>4</v>
      </c>
      <c r="G649" s="5">
        <f t="shared" si="2"/>
        <v>3</v>
      </c>
      <c r="H649" s="5" t="str">
        <f t="shared" si="3"/>
        <v>ON TIME</v>
      </c>
      <c r="I649" s="5">
        <f>Raw_Data!F649</f>
        <v>10039</v>
      </c>
      <c r="J649" s="5">
        <f t="shared" si="4"/>
        <v>0</v>
      </c>
    </row>
    <row r="650">
      <c r="A650" s="5" t="str">
        <f>Raw_Data!A650</f>
        <v>TRK100648</v>
      </c>
      <c r="B650" s="5" t="str">
        <f>TRIM(Raw_Data!B650)</f>
        <v>Delhivery</v>
      </c>
      <c r="C650" s="5" t="str">
        <f>TRIM(Raw_Data!C650)</f>
        <v>Tier 3</v>
      </c>
      <c r="D650" s="6">
        <f>DATEVALUE(TEXT(Raw_Data!D650, "YYYY-MM-DD"))</f>
        <v>46031</v>
      </c>
      <c r="E650" s="6">
        <f>IF(ISBLANK(Raw_Data!E650), "", DATEVALUE(TEXT(Raw_Data!E650, "YYYY-MM-DD")))</f>
        <v>46038</v>
      </c>
      <c r="F650" s="5">
        <f t="shared" si="1"/>
        <v>6</v>
      </c>
      <c r="G650" s="5">
        <f t="shared" si="2"/>
        <v>6</v>
      </c>
      <c r="H650" s="5" t="str">
        <f t="shared" si="3"/>
        <v>ON TIME</v>
      </c>
      <c r="I650" s="5">
        <f>Raw_Data!F650</f>
        <v>3673</v>
      </c>
      <c r="J650" s="5">
        <f t="shared" si="4"/>
        <v>0</v>
      </c>
    </row>
    <row r="651">
      <c r="A651" s="5" t="str">
        <f>Raw_Data!A651</f>
        <v>TRK100649</v>
      </c>
      <c r="B651" s="5" t="str">
        <f>TRIM(Raw_Data!B651)</f>
        <v>Delhivery</v>
      </c>
      <c r="C651" s="5" t="str">
        <f>TRIM(Raw_Data!C651)</f>
        <v>Tier 2</v>
      </c>
      <c r="D651" s="6">
        <f>DATEVALUE(TEXT(Raw_Data!D651, "YYYY-MM-DD"))</f>
        <v>46057</v>
      </c>
      <c r="E651" s="6">
        <f>IF(ISBLANK(Raw_Data!E651), "", DATEVALUE(TEXT(Raw_Data!E651, "YYYY-MM-DD")))</f>
        <v>46061</v>
      </c>
      <c r="F651" s="5">
        <f t="shared" si="1"/>
        <v>4</v>
      </c>
      <c r="G651" s="5">
        <f t="shared" si="2"/>
        <v>3</v>
      </c>
      <c r="H651" s="5" t="str">
        <f t="shared" si="3"/>
        <v>ON TIME</v>
      </c>
      <c r="I651" s="5">
        <f>Raw_Data!F651</f>
        <v>2167</v>
      </c>
      <c r="J651" s="5">
        <f t="shared" si="4"/>
        <v>0</v>
      </c>
    </row>
    <row r="652">
      <c r="A652" s="5" t="str">
        <f>Raw_Data!A652</f>
        <v>TRK100650</v>
      </c>
      <c r="B652" s="5" t="str">
        <f>TRIM(Raw_Data!B652)</f>
        <v>EcomExpress</v>
      </c>
      <c r="C652" s="5" t="str">
        <f>TRIM(Raw_Data!C652)</f>
        <v>Tier 2</v>
      </c>
      <c r="D652" s="6">
        <f>DATEVALUE(TEXT(Raw_Data!D652, "YYYY-MM-DD"))</f>
        <v>46034</v>
      </c>
      <c r="E652" s="6">
        <f>IF(ISBLANK(Raw_Data!E652), "", DATEVALUE(TEXT(Raw_Data!E652, "YYYY-MM-DD")))</f>
        <v>46038</v>
      </c>
      <c r="F652" s="5">
        <f t="shared" si="1"/>
        <v>4</v>
      </c>
      <c r="G652" s="5">
        <f t="shared" si="2"/>
        <v>5</v>
      </c>
      <c r="H652" s="5" t="str">
        <f t="shared" si="3"/>
        <v>SLA BREACH</v>
      </c>
      <c r="I652" s="5">
        <f>Raw_Data!F652</f>
        <v>10329</v>
      </c>
      <c r="J652" s="5">
        <f t="shared" si="4"/>
        <v>516.45</v>
      </c>
    </row>
    <row r="653">
      <c r="A653" s="5" t="str">
        <f>Raw_Data!A653</f>
        <v>TRK100651</v>
      </c>
      <c r="B653" s="5" t="str">
        <f>TRIM(Raw_Data!B653)</f>
        <v>EcomExpress</v>
      </c>
      <c r="C653" s="5" t="str">
        <f>TRIM(Raw_Data!C653)</f>
        <v>Tier 2</v>
      </c>
      <c r="D653" s="6">
        <f>DATEVALUE(TEXT(Raw_Data!D653, "YYYY-MM-DD"))</f>
        <v>46064</v>
      </c>
      <c r="E653" s="6">
        <f>IF(ISBLANK(Raw_Data!E653), "", DATEVALUE(TEXT(Raw_Data!E653, "YYYY-MM-DD")))</f>
        <v>46068</v>
      </c>
      <c r="F653" s="5">
        <f t="shared" si="1"/>
        <v>4</v>
      </c>
      <c r="G653" s="5">
        <f t="shared" si="2"/>
        <v>3</v>
      </c>
      <c r="H653" s="5" t="str">
        <f t="shared" si="3"/>
        <v>ON TIME</v>
      </c>
      <c r="I653" s="5">
        <f>Raw_Data!F653</f>
        <v>4614</v>
      </c>
      <c r="J653" s="5">
        <f t="shared" si="4"/>
        <v>0</v>
      </c>
    </row>
    <row r="654">
      <c r="A654" s="5" t="str">
        <f>Raw_Data!A654</f>
        <v>TRK100652</v>
      </c>
      <c r="B654" s="5" t="str">
        <f>TRIM(Raw_Data!B654)</f>
        <v>BlueDart</v>
      </c>
      <c r="C654" s="5" t="str">
        <f>TRIM(Raw_Data!C654)</f>
        <v>Metro</v>
      </c>
      <c r="D654" s="6">
        <f>DATEVALUE(TEXT(Raw_Data!D654, "YYYY-MM-DD"))</f>
        <v>46056</v>
      </c>
      <c r="E654" s="6">
        <f>IF(ISBLANK(Raw_Data!E654), "", DATEVALUE(TEXT(Raw_Data!E654, "YYYY-MM-DD")))</f>
        <v>46058</v>
      </c>
      <c r="F654" s="5">
        <f t="shared" si="1"/>
        <v>2</v>
      </c>
      <c r="G654" s="5">
        <f t="shared" si="2"/>
        <v>3</v>
      </c>
      <c r="H654" s="5" t="str">
        <f t="shared" si="3"/>
        <v>SLA BREACH</v>
      </c>
      <c r="I654" s="5">
        <f>Raw_Data!F654</f>
        <v>4053</v>
      </c>
      <c r="J654" s="5">
        <f t="shared" si="4"/>
        <v>202.65</v>
      </c>
    </row>
    <row r="655">
      <c r="A655" s="5" t="str">
        <f>Raw_Data!A655</f>
        <v>TRK100653</v>
      </c>
      <c r="B655" s="5" t="str">
        <f>TRIM(Raw_Data!B655)</f>
        <v>Delhivery</v>
      </c>
      <c r="C655" s="5" t="str">
        <f>TRIM(Raw_Data!C655)</f>
        <v>Metro</v>
      </c>
      <c r="D655" s="6">
        <f>DATEVALUE(TEXT(Raw_Data!D655, "YYYY-MM-DD"))</f>
        <v>46076</v>
      </c>
      <c r="E655" s="6">
        <f>IF(ISBLANK(Raw_Data!E655), "", DATEVALUE(TEXT(Raw_Data!E655, "YYYY-MM-DD")))</f>
        <v>46079</v>
      </c>
      <c r="F655" s="5">
        <f t="shared" si="1"/>
        <v>2</v>
      </c>
      <c r="G655" s="5">
        <f t="shared" si="2"/>
        <v>4</v>
      </c>
      <c r="H655" s="5" t="str">
        <f t="shared" si="3"/>
        <v>SLA BREACH</v>
      </c>
      <c r="I655" s="5">
        <f>Raw_Data!F655</f>
        <v>8261</v>
      </c>
      <c r="J655" s="5">
        <f t="shared" si="4"/>
        <v>413.05</v>
      </c>
    </row>
    <row r="656">
      <c r="A656" s="5" t="str">
        <f>Raw_Data!A656</f>
        <v>TRK100654</v>
      </c>
      <c r="B656" s="5" t="str">
        <f>TRIM(Raw_Data!B656)</f>
        <v>EcomExpress</v>
      </c>
      <c r="C656" s="5" t="str">
        <f>TRIM(Raw_Data!C656)</f>
        <v>Metro</v>
      </c>
      <c r="D656" s="6">
        <f>DATEVALUE(TEXT(Raw_Data!D656, "YYYY-MM-DD"))</f>
        <v>46083</v>
      </c>
      <c r="E656" s="6">
        <f>IF(ISBLANK(Raw_Data!E656), "", DATEVALUE(TEXT(Raw_Data!E656, "YYYY-MM-DD")))</f>
        <v>46085</v>
      </c>
      <c r="F656" s="5">
        <f t="shared" si="1"/>
        <v>2</v>
      </c>
      <c r="G656" s="5">
        <f t="shared" si="2"/>
        <v>3</v>
      </c>
      <c r="H656" s="5" t="str">
        <f t="shared" si="3"/>
        <v>SLA BREACH</v>
      </c>
      <c r="I656" s="5">
        <f>Raw_Data!F656</f>
        <v>1500</v>
      </c>
      <c r="J656" s="5">
        <f t="shared" si="4"/>
        <v>75</v>
      </c>
    </row>
    <row r="657">
      <c r="A657" s="5" t="str">
        <f>Raw_Data!A657</f>
        <v>TRK100655</v>
      </c>
      <c r="B657" s="5" t="str">
        <f>TRIM(Raw_Data!B657)</f>
        <v>Delhivery</v>
      </c>
      <c r="C657" s="5" t="str">
        <f>TRIM(Raw_Data!C657)</f>
        <v>Tier 3</v>
      </c>
      <c r="D657" s="6">
        <f>DATEVALUE(TEXT(Raw_Data!D657, "YYYY-MM-DD"))</f>
        <v>46026</v>
      </c>
      <c r="E657" s="6">
        <f>IF(ISBLANK(Raw_Data!E657), "", DATEVALUE(TEXT(Raw_Data!E657, "YYYY-MM-DD")))</f>
        <v>46032</v>
      </c>
      <c r="F657" s="5">
        <f t="shared" si="1"/>
        <v>6</v>
      </c>
      <c r="G657" s="5">
        <f t="shared" si="2"/>
        <v>5</v>
      </c>
      <c r="H657" s="5" t="str">
        <f t="shared" si="3"/>
        <v>ON TIME</v>
      </c>
      <c r="I657" s="5">
        <f>Raw_Data!F657</f>
        <v>9542</v>
      </c>
      <c r="J657" s="5">
        <f t="shared" si="4"/>
        <v>0</v>
      </c>
    </row>
    <row r="658">
      <c r="A658" s="5" t="str">
        <f>Raw_Data!A658</f>
        <v>TRK100656</v>
      </c>
      <c r="B658" s="5" t="str">
        <f>TRIM(Raw_Data!B658)</f>
        <v>Delhivery</v>
      </c>
      <c r="C658" s="5" t="str">
        <f>TRIM(Raw_Data!C658)</f>
        <v>Tier 3</v>
      </c>
      <c r="D658" s="6">
        <f>DATEVALUE(TEXT(Raw_Data!D658, "YYYY-MM-DD"))</f>
        <v>46023</v>
      </c>
      <c r="E658" s="6" t="str">
        <f>IF(ISBLANK(Raw_Data!E658), "", DATEVALUE(TEXT(Raw_Data!E658, "YYYY-MM-DD")))</f>
        <v/>
      </c>
      <c r="F658" s="5">
        <f t="shared" si="1"/>
        <v>6</v>
      </c>
      <c r="G658" s="5" t="str">
        <f t="shared" si="2"/>
        <v>In-Transit</v>
      </c>
      <c r="H658" s="5" t="str">
        <f t="shared" si="3"/>
        <v>Pending</v>
      </c>
      <c r="I658" s="5">
        <f>Raw_Data!F658</f>
        <v>1888</v>
      </c>
      <c r="J658" s="5">
        <f t="shared" si="4"/>
        <v>0</v>
      </c>
    </row>
    <row r="659">
      <c r="A659" s="5" t="str">
        <f>Raw_Data!A659</f>
        <v>TRK100657</v>
      </c>
      <c r="B659" s="5" t="str">
        <f>TRIM(Raw_Data!B659)</f>
        <v>BlueDart</v>
      </c>
      <c r="C659" s="5" t="str">
        <f>TRIM(Raw_Data!C659)</f>
        <v>Tier 2</v>
      </c>
      <c r="D659" s="6">
        <f>DATEVALUE(TEXT(Raw_Data!D659, "YYYY-MM-DD"))</f>
        <v>46031</v>
      </c>
      <c r="E659" s="6">
        <f>IF(ISBLANK(Raw_Data!E659), "", DATEVALUE(TEXT(Raw_Data!E659, "YYYY-MM-DD")))</f>
        <v>46035</v>
      </c>
      <c r="F659" s="5">
        <f t="shared" si="1"/>
        <v>4</v>
      </c>
      <c r="G659" s="5">
        <f t="shared" si="2"/>
        <v>3</v>
      </c>
      <c r="H659" s="5" t="str">
        <f t="shared" si="3"/>
        <v>ON TIME</v>
      </c>
      <c r="I659" s="5">
        <f>Raw_Data!F659</f>
        <v>5950</v>
      </c>
      <c r="J659" s="5">
        <f t="shared" si="4"/>
        <v>0</v>
      </c>
    </row>
    <row r="660">
      <c r="A660" s="5" t="str">
        <f>Raw_Data!A660</f>
        <v>TRK100658</v>
      </c>
      <c r="B660" s="5" t="str">
        <f>TRIM(Raw_Data!B660)</f>
        <v>Delhivery</v>
      </c>
      <c r="C660" s="5" t="str">
        <f>TRIM(Raw_Data!C660)</f>
        <v>Metro</v>
      </c>
      <c r="D660" s="6">
        <f>DATEVALUE(TEXT(Raw_Data!D660, "YYYY-MM-DD"))</f>
        <v>46037</v>
      </c>
      <c r="E660" s="6">
        <f>IF(ISBLANK(Raw_Data!E660), "", DATEVALUE(TEXT(Raw_Data!E660, "YYYY-MM-DD")))</f>
        <v>46039</v>
      </c>
      <c r="F660" s="5">
        <f t="shared" si="1"/>
        <v>2</v>
      </c>
      <c r="G660" s="5">
        <f t="shared" si="2"/>
        <v>2</v>
      </c>
      <c r="H660" s="5" t="str">
        <f t="shared" si="3"/>
        <v>ON TIME</v>
      </c>
      <c r="I660" s="5">
        <f>Raw_Data!F660</f>
        <v>4212</v>
      </c>
      <c r="J660" s="5">
        <f t="shared" si="4"/>
        <v>0</v>
      </c>
    </row>
    <row r="661">
      <c r="A661" s="5" t="str">
        <f>Raw_Data!A661</f>
        <v>TRK100659</v>
      </c>
      <c r="B661" s="5" t="str">
        <f>TRIM(Raw_Data!B661)</f>
        <v>BlueDart</v>
      </c>
      <c r="C661" s="5" t="str">
        <f>TRIM(Raw_Data!C661)</f>
        <v>Metro</v>
      </c>
      <c r="D661" s="6">
        <f>DATEVALUE(TEXT(Raw_Data!D661, "YYYY-MM-DD"))</f>
        <v>46068</v>
      </c>
      <c r="E661" s="6">
        <f>IF(ISBLANK(Raw_Data!E661), "", DATEVALUE(TEXT(Raw_Data!E661, "YYYY-MM-DD")))</f>
        <v>46070</v>
      </c>
      <c r="F661" s="5">
        <f t="shared" si="1"/>
        <v>2</v>
      </c>
      <c r="G661" s="5">
        <f t="shared" si="2"/>
        <v>2</v>
      </c>
      <c r="H661" s="5" t="str">
        <f t="shared" si="3"/>
        <v>ON TIME</v>
      </c>
      <c r="I661" s="5">
        <f>Raw_Data!F661</f>
        <v>1867</v>
      </c>
      <c r="J661" s="5">
        <f t="shared" si="4"/>
        <v>0</v>
      </c>
    </row>
    <row r="662">
      <c r="A662" s="5" t="str">
        <f>Raw_Data!A662</f>
        <v>TRK100660</v>
      </c>
      <c r="B662" s="5" t="str">
        <f>TRIM(Raw_Data!B662)</f>
        <v>EcomExpress</v>
      </c>
      <c r="C662" s="5" t="str">
        <f>TRIM(Raw_Data!C662)</f>
        <v>Tier 3</v>
      </c>
      <c r="D662" s="6">
        <f>DATEVALUE(TEXT(Raw_Data!D662, "YYYY-MM-DD"))</f>
        <v>46023</v>
      </c>
      <c r="E662" s="6">
        <f>IF(ISBLANK(Raw_Data!E662), "", DATEVALUE(TEXT(Raw_Data!E662, "YYYY-MM-DD")))</f>
        <v>46029</v>
      </c>
      <c r="F662" s="5">
        <f t="shared" si="1"/>
        <v>6</v>
      </c>
      <c r="G662" s="5">
        <f t="shared" si="2"/>
        <v>5</v>
      </c>
      <c r="H662" s="5" t="str">
        <f t="shared" si="3"/>
        <v>ON TIME</v>
      </c>
      <c r="I662" s="5">
        <f>Raw_Data!F662</f>
        <v>8689</v>
      </c>
      <c r="J662" s="5">
        <f t="shared" si="4"/>
        <v>0</v>
      </c>
    </row>
    <row r="663">
      <c r="A663" s="5" t="str">
        <f>Raw_Data!A663</f>
        <v>TRK100661</v>
      </c>
      <c r="B663" s="5" t="str">
        <f>TRIM(Raw_Data!B663)</f>
        <v>EcomExpress</v>
      </c>
      <c r="C663" s="5" t="str">
        <f>TRIM(Raw_Data!C663)</f>
        <v>Tier 3</v>
      </c>
      <c r="D663" s="6">
        <f>DATEVALUE(TEXT(Raw_Data!D663, "YYYY-MM-DD"))</f>
        <v>46055</v>
      </c>
      <c r="E663" s="6">
        <f>IF(ISBLANK(Raw_Data!E663), "", DATEVALUE(TEXT(Raw_Data!E663, "YYYY-MM-DD")))</f>
        <v>46066</v>
      </c>
      <c r="F663" s="5">
        <f t="shared" si="1"/>
        <v>6</v>
      </c>
      <c r="G663" s="5">
        <f t="shared" si="2"/>
        <v>10</v>
      </c>
      <c r="H663" s="5" t="str">
        <f t="shared" si="3"/>
        <v>SLA BREACH</v>
      </c>
      <c r="I663" s="5">
        <f>Raw_Data!F663</f>
        <v>9513</v>
      </c>
      <c r="J663" s="5">
        <f t="shared" si="4"/>
        <v>475.65</v>
      </c>
    </row>
    <row r="664">
      <c r="A664" s="5" t="str">
        <f>Raw_Data!A664</f>
        <v>TRK100662</v>
      </c>
      <c r="B664" s="5" t="str">
        <f>TRIM(Raw_Data!B664)</f>
        <v>EcomExpress</v>
      </c>
      <c r="C664" s="5" t="str">
        <f>TRIM(Raw_Data!C664)</f>
        <v>Metro</v>
      </c>
      <c r="D664" s="6">
        <f>DATEVALUE(TEXT(Raw_Data!D664, "YYYY-MM-DD"))</f>
        <v>46046</v>
      </c>
      <c r="E664" s="6">
        <f>IF(ISBLANK(Raw_Data!E664), "", DATEVALUE(TEXT(Raw_Data!E664, "YYYY-MM-DD")))</f>
        <v>46048</v>
      </c>
      <c r="F664" s="5">
        <f t="shared" si="1"/>
        <v>2</v>
      </c>
      <c r="G664" s="5">
        <f t="shared" si="2"/>
        <v>1</v>
      </c>
      <c r="H664" s="5" t="str">
        <f t="shared" si="3"/>
        <v>ON TIME</v>
      </c>
      <c r="I664" s="5">
        <f>Raw_Data!F664</f>
        <v>954</v>
      </c>
      <c r="J664" s="5">
        <f t="shared" si="4"/>
        <v>0</v>
      </c>
    </row>
    <row r="665">
      <c r="A665" s="5" t="str">
        <f>Raw_Data!A665</f>
        <v>TRK100663</v>
      </c>
      <c r="B665" s="5" t="str">
        <f>TRIM(Raw_Data!B665)</f>
        <v>EcomExpress</v>
      </c>
      <c r="C665" s="5" t="str">
        <f>TRIM(Raw_Data!C665)</f>
        <v>Metro</v>
      </c>
      <c r="D665" s="6">
        <f>DATEVALUE(TEXT(Raw_Data!D665, "YYYY-MM-DD"))</f>
        <v>46062</v>
      </c>
      <c r="E665" s="6">
        <f>IF(ISBLANK(Raw_Data!E665), "", DATEVALUE(TEXT(Raw_Data!E665, "YYYY-MM-DD")))</f>
        <v>46064</v>
      </c>
      <c r="F665" s="5">
        <f t="shared" si="1"/>
        <v>2</v>
      </c>
      <c r="G665" s="5">
        <f t="shared" si="2"/>
        <v>3</v>
      </c>
      <c r="H665" s="5" t="str">
        <f t="shared" si="3"/>
        <v>SLA BREACH</v>
      </c>
      <c r="I665" s="5">
        <f>Raw_Data!F665</f>
        <v>10316</v>
      </c>
      <c r="J665" s="5">
        <f t="shared" si="4"/>
        <v>515.8</v>
      </c>
    </row>
    <row r="666">
      <c r="A666" s="5" t="str">
        <f>Raw_Data!A666</f>
        <v>TRK100664</v>
      </c>
      <c r="B666" s="5" t="str">
        <f>TRIM(Raw_Data!B666)</f>
        <v>BlueDart</v>
      </c>
      <c r="C666" s="5" t="str">
        <f>TRIM(Raw_Data!C666)</f>
        <v>Tier 3</v>
      </c>
      <c r="D666" s="6">
        <f>DATEVALUE(TEXT(Raw_Data!D666, "YYYY-MM-DD"))</f>
        <v>46065</v>
      </c>
      <c r="E666" s="6">
        <f>IF(ISBLANK(Raw_Data!E666), "", DATEVALUE(TEXT(Raw_Data!E666, "YYYY-MM-DD")))</f>
        <v>46071</v>
      </c>
      <c r="F666" s="5">
        <f t="shared" si="1"/>
        <v>6</v>
      </c>
      <c r="G666" s="5">
        <f t="shared" si="2"/>
        <v>5</v>
      </c>
      <c r="H666" s="5" t="str">
        <f t="shared" si="3"/>
        <v>ON TIME</v>
      </c>
      <c r="I666" s="5">
        <f>Raw_Data!F666</f>
        <v>3272</v>
      </c>
      <c r="J666" s="5">
        <f t="shared" si="4"/>
        <v>0</v>
      </c>
    </row>
    <row r="667">
      <c r="A667" s="5" t="str">
        <f>Raw_Data!A667</f>
        <v>TRK100665</v>
      </c>
      <c r="B667" s="5" t="str">
        <f>TRIM(Raw_Data!B667)</f>
        <v>BlueDart</v>
      </c>
      <c r="C667" s="5" t="str">
        <f>TRIM(Raw_Data!C667)</f>
        <v>Tier 3</v>
      </c>
      <c r="D667" s="6">
        <f>DATEVALUE(TEXT(Raw_Data!D667, "YYYY-MM-DD"))</f>
        <v>46081</v>
      </c>
      <c r="E667" s="6">
        <f>IF(ISBLANK(Raw_Data!E667), "", DATEVALUE(TEXT(Raw_Data!E667, "YYYY-MM-DD")))</f>
        <v>46087</v>
      </c>
      <c r="F667" s="5">
        <f t="shared" si="1"/>
        <v>6</v>
      </c>
      <c r="G667" s="5">
        <f t="shared" si="2"/>
        <v>5</v>
      </c>
      <c r="H667" s="5" t="str">
        <f t="shared" si="3"/>
        <v>ON TIME</v>
      </c>
      <c r="I667" s="5">
        <f>Raw_Data!F667</f>
        <v>4226</v>
      </c>
      <c r="J667" s="5">
        <f t="shared" si="4"/>
        <v>0</v>
      </c>
    </row>
    <row r="668">
      <c r="A668" s="5" t="str">
        <f>Raw_Data!A668</f>
        <v>TRK100666</v>
      </c>
      <c r="B668" s="5" t="str">
        <f>TRIM(Raw_Data!B668)</f>
        <v>EcomExpress</v>
      </c>
      <c r="C668" s="5" t="str">
        <f>TRIM(Raw_Data!C668)</f>
        <v>Metro</v>
      </c>
      <c r="D668" s="6">
        <f>DATEVALUE(TEXT(Raw_Data!D668, "YYYY-MM-DD"))</f>
        <v>46065</v>
      </c>
      <c r="E668" s="6">
        <f>IF(ISBLANK(Raw_Data!E668), "", DATEVALUE(TEXT(Raw_Data!E668, "YYYY-MM-DD")))</f>
        <v>46067</v>
      </c>
      <c r="F668" s="5">
        <f t="shared" si="1"/>
        <v>2</v>
      </c>
      <c r="G668" s="5">
        <f t="shared" si="2"/>
        <v>2</v>
      </c>
      <c r="H668" s="5" t="str">
        <f t="shared" si="3"/>
        <v>ON TIME</v>
      </c>
      <c r="I668" s="5">
        <f>Raw_Data!F668</f>
        <v>7732</v>
      </c>
      <c r="J668" s="5">
        <f t="shared" si="4"/>
        <v>0</v>
      </c>
    </row>
    <row r="669">
      <c r="A669" s="5" t="str">
        <f>Raw_Data!A669</f>
        <v>TRK100667</v>
      </c>
      <c r="B669" s="5" t="str">
        <f>TRIM(Raw_Data!B669)</f>
        <v>EcomExpress</v>
      </c>
      <c r="C669" s="5" t="str">
        <f>TRIM(Raw_Data!C669)</f>
        <v>Tier 2</v>
      </c>
      <c r="D669" s="6">
        <f>DATEVALUE(TEXT(Raw_Data!D669, "YYYY-MM-DD"))</f>
        <v>46024</v>
      </c>
      <c r="E669" s="6">
        <f>IF(ISBLANK(Raw_Data!E669), "", DATEVALUE(TEXT(Raw_Data!E669, "YYYY-MM-DD")))</f>
        <v>46028</v>
      </c>
      <c r="F669" s="5">
        <f t="shared" si="1"/>
        <v>4</v>
      </c>
      <c r="G669" s="5">
        <f t="shared" si="2"/>
        <v>3</v>
      </c>
      <c r="H669" s="5" t="str">
        <f t="shared" si="3"/>
        <v>ON TIME</v>
      </c>
      <c r="I669" s="5">
        <f>Raw_Data!F669</f>
        <v>11839</v>
      </c>
      <c r="J669" s="5">
        <f t="shared" si="4"/>
        <v>0</v>
      </c>
    </row>
    <row r="670">
      <c r="A670" s="5" t="str">
        <f>Raw_Data!A670</f>
        <v>TRK100668</v>
      </c>
      <c r="B670" s="5" t="str">
        <f>TRIM(Raw_Data!B670)</f>
        <v>EcomExpress</v>
      </c>
      <c r="C670" s="5" t="str">
        <f>TRIM(Raw_Data!C670)</f>
        <v>Tier 2</v>
      </c>
      <c r="D670" s="6">
        <f>DATEVALUE(TEXT(Raw_Data!D670, "YYYY-MM-DD"))</f>
        <v>46057</v>
      </c>
      <c r="E670" s="6">
        <f>IF(ISBLANK(Raw_Data!E670), "", DATEVALUE(TEXT(Raw_Data!E670, "YYYY-MM-DD")))</f>
        <v>46061</v>
      </c>
      <c r="F670" s="5">
        <f t="shared" si="1"/>
        <v>4</v>
      </c>
      <c r="G670" s="5">
        <f t="shared" si="2"/>
        <v>3</v>
      </c>
      <c r="H670" s="5" t="str">
        <f t="shared" si="3"/>
        <v>ON TIME</v>
      </c>
      <c r="I670" s="5">
        <f>Raw_Data!F670</f>
        <v>5306</v>
      </c>
      <c r="J670" s="5">
        <f t="shared" si="4"/>
        <v>0</v>
      </c>
    </row>
    <row r="671">
      <c r="A671" s="5" t="str">
        <f>Raw_Data!A671</f>
        <v>TRK100669</v>
      </c>
      <c r="B671" s="5" t="str">
        <f>TRIM(Raw_Data!B671)</f>
        <v>BlueDart</v>
      </c>
      <c r="C671" s="5" t="str">
        <f>TRIM(Raw_Data!C671)</f>
        <v>Tier 2</v>
      </c>
      <c r="D671" s="6">
        <f>DATEVALUE(TEXT(Raw_Data!D671, "YYYY-MM-DD"))</f>
        <v>46049</v>
      </c>
      <c r="E671" s="6">
        <f>IF(ISBLANK(Raw_Data!E671), "", DATEVALUE(TEXT(Raw_Data!E671, "YYYY-MM-DD")))</f>
        <v>46053</v>
      </c>
      <c r="F671" s="5">
        <f t="shared" si="1"/>
        <v>4</v>
      </c>
      <c r="G671" s="5">
        <f t="shared" si="2"/>
        <v>4</v>
      </c>
      <c r="H671" s="5" t="str">
        <f t="shared" si="3"/>
        <v>ON TIME</v>
      </c>
      <c r="I671" s="5">
        <f>Raw_Data!F671</f>
        <v>2690</v>
      </c>
      <c r="J671" s="5">
        <f t="shared" si="4"/>
        <v>0</v>
      </c>
    </row>
    <row r="672">
      <c r="A672" s="5" t="str">
        <f>Raw_Data!A672</f>
        <v>TRK100670</v>
      </c>
      <c r="B672" s="5" t="str">
        <f>TRIM(Raw_Data!B672)</f>
        <v>EcomExpress</v>
      </c>
      <c r="C672" s="5" t="str">
        <f>TRIM(Raw_Data!C672)</f>
        <v>Tier 2</v>
      </c>
      <c r="D672" s="6">
        <f>DATEVALUE(TEXT(Raw_Data!D672, "YYYY-MM-DD"))</f>
        <v>46024</v>
      </c>
      <c r="E672" s="6">
        <f>IF(ISBLANK(Raw_Data!E672), "", DATEVALUE(TEXT(Raw_Data!E672, "YYYY-MM-DD")))</f>
        <v>46028</v>
      </c>
      <c r="F672" s="5">
        <f t="shared" si="1"/>
        <v>4</v>
      </c>
      <c r="G672" s="5">
        <f t="shared" si="2"/>
        <v>3</v>
      </c>
      <c r="H672" s="5" t="str">
        <f t="shared" si="3"/>
        <v>ON TIME</v>
      </c>
      <c r="I672" s="5">
        <f>Raw_Data!F672</f>
        <v>9608</v>
      </c>
      <c r="J672" s="5">
        <f t="shared" si="4"/>
        <v>0</v>
      </c>
    </row>
    <row r="673">
      <c r="A673" s="5" t="str">
        <f>Raw_Data!A673</f>
        <v>TRK100671</v>
      </c>
      <c r="B673" s="5" t="str">
        <f>TRIM(Raw_Data!B673)</f>
        <v>BlueDart</v>
      </c>
      <c r="C673" s="5" t="str">
        <f>TRIM(Raw_Data!C673)</f>
        <v>Metro</v>
      </c>
      <c r="D673" s="6">
        <f>DATEVALUE(TEXT(Raw_Data!D673, "YYYY-MM-DD"))</f>
        <v>46069</v>
      </c>
      <c r="E673" s="6">
        <f>IF(ISBLANK(Raw_Data!E673), "", DATEVALUE(TEXT(Raw_Data!E673, "YYYY-MM-DD")))</f>
        <v>46073</v>
      </c>
      <c r="F673" s="5">
        <f t="shared" si="1"/>
        <v>2</v>
      </c>
      <c r="G673" s="5">
        <f t="shared" si="2"/>
        <v>5</v>
      </c>
      <c r="H673" s="5" t="str">
        <f t="shared" si="3"/>
        <v>SLA BREACH</v>
      </c>
      <c r="I673" s="5">
        <f>Raw_Data!F673</f>
        <v>3375</v>
      </c>
      <c r="J673" s="5">
        <f t="shared" si="4"/>
        <v>168.75</v>
      </c>
    </row>
    <row r="674">
      <c r="A674" s="5" t="str">
        <f>Raw_Data!A674</f>
        <v>TRK100672</v>
      </c>
      <c r="B674" s="5" t="str">
        <f>TRIM(Raw_Data!B674)</f>
        <v>Delhivery</v>
      </c>
      <c r="C674" s="5" t="str">
        <f>TRIM(Raw_Data!C674)</f>
        <v>Tier 2</v>
      </c>
      <c r="D674" s="6">
        <f>DATEVALUE(TEXT(Raw_Data!D674, "YYYY-MM-DD"))</f>
        <v>46057</v>
      </c>
      <c r="E674" s="6">
        <f>IF(ISBLANK(Raw_Data!E674), "", DATEVALUE(TEXT(Raw_Data!E674, "YYYY-MM-DD")))</f>
        <v>46061</v>
      </c>
      <c r="F674" s="5">
        <f t="shared" si="1"/>
        <v>4</v>
      </c>
      <c r="G674" s="5">
        <f t="shared" si="2"/>
        <v>3</v>
      </c>
      <c r="H674" s="5" t="str">
        <f t="shared" si="3"/>
        <v>ON TIME</v>
      </c>
      <c r="I674" s="5">
        <f>Raw_Data!F674</f>
        <v>6092</v>
      </c>
      <c r="J674" s="5">
        <f t="shared" si="4"/>
        <v>0</v>
      </c>
    </row>
    <row r="675">
      <c r="A675" s="5" t="str">
        <f>Raw_Data!A675</f>
        <v>TRK100673</v>
      </c>
      <c r="B675" s="5" t="str">
        <f>TRIM(Raw_Data!B675)</f>
        <v>EcomExpress</v>
      </c>
      <c r="C675" s="5" t="str">
        <f>TRIM(Raw_Data!C675)</f>
        <v>Tier 2</v>
      </c>
      <c r="D675" s="6">
        <f>DATEVALUE(TEXT(Raw_Data!D675, "YYYY-MM-DD"))</f>
        <v>46024</v>
      </c>
      <c r="E675" s="6">
        <f>IF(ISBLANK(Raw_Data!E675), "", DATEVALUE(TEXT(Raw_Data!E675, "YYYY-MM-DD")))</f>
        <v>46028</v>
      </c>
      <c r="F675" s="5">
        <f t="shared" si="1"/>
        <v>4</v>
      </c>
      <c r="G675" s="5">
        <f t="shared" si="2"/>
        <v>3</v>
      </c>
      <c r="H675" s="5" t="str">
        <f t="shared" si="3"/>
        <v>ON TIME</v>
      </c>
      <c r="I675" s="5">
        <f>Raw_Data!F675</f>
        <v>1940</v>
      </c>
      <c r="J675" s="5">
        <f t="shared" si="4"/>
        <v>0</v>
      </c>
    </row>
    <row r="676">
      <c r="A676" s="5" t="str">
        <f>Raw_Data!A676</f>
        <v>TRK100674</v>
      </c>
      <c r="B676" s="5" t="str">
        <f>TRIM(Raw_Data!B676)</f>
        <v>BlueDart</v>
      </c>
      <c r="C676" s="5" t="str">
        <f>TRIM(Raw_Data!C676)</f>
        <v>Tier 3</v>
      </c>
      <c r="D676" s="6">
        <f>DATEVALUE(TEXT(Raw_Data!D676, "YYYY-MM-DD"))</f>
        <v>46075</v>
      </c>
      <c r="E676" s="6" t="str">
        <f>IF(ISBLANK(Raw_Data!E676), "", DATEVALUE(TEXT(Raw_Data!E676, "YYYY-MM-DD")))</f>
        <v/>
      </c>
      <c r="F676" s="5">
        <f t="shared" si="1"/>
        <v>6</v>
      </c>
      <c r="G676" s="5" t="str">
        <f t="shared" si="2"/>
        <v>In-Transit</v>
      </c>
      <c r="H676" s="5" t="str">
        <f t="shared" si="3"/>
        <v>Pending</v>
      </c>
      <c r="I676" s="5">
        <f>Raw_Data!F676</f>
        <v>9427</v>
      </c>
      <c r="J676" s="5">
        <f t="shared" si="4"/>
        <v>0</v>
      </c>
    </row>
    <row r="677">
      <c r="A677" s="5" t="str">
        <f>Raw_Data!A677</f>
        <v>TRK100675</v>
      </c>
      <c r="B677" s="5" t="str">
        <f>TRIM(Raw_Data!B677)</f>
        <v>BlueDart</v>
      </c>
      <c r="C677" s="5" t="str">
        <f>TRIM(Raw_Data!C677)</f>
        <v>Tier 2</v>
      </c>
      <c r="D677" s="6">
        <f>DATEVALUE(TEXT(Raw_Data!D677, "YYYY-MM-DD"))</f>
        <v>46066</v>
      </c>
      <c r="E677" s="6">
        <f>IF(ISBLANK(Raw_Data!E677), "", DATEVALUE(TEXT(Raw_Data!E677, "YYYY-MM-DD")))</f>
        <v>46075</v>
      </c>
      <c r="F677" s="5">
        <f t="shared" si="1"/>
        <v>4</v>
      </c>
      <c r="G677" s="5">
        <f t="shared" si="2"/>
        <v>6</v>
      </c>
      <c r="H677" s="5" t="str">
        <f t="shared" si="3"/>
        <v>SLA BREACH</v>
      </c>
      <c r="I677" s="5">
        <f>Raw_Data!F677</f>
        <v>6559</v>
      </c>
      <c r="J677" s="5">
        <f t="shared" si="4"/>
        <v>327.95</v>
      </c>
    </row>
    <row r="678">
      <c r="A678" s="5" t="str">
        <f>Raw_Data!A678</f>
        <v>TRK100676</v>
      </c>
      <c r="B678" s="5" t="str">
        <f>TRIM(Raw_Data!B678)</f>
        <v>BlueDart</v>
      </c>
      <c r="C678" s="5" t="str">
        <f>TRIM(Raw_Data!C678)</f>
        <v>Tier 3</v>
      </c>
      <c r="D678" s="6">
        <f>DATEVALUE(TEXT(Raw_Data!D678, "YYYY-MM-DD"))</f>
        <v>46074</v>
      </c>
      <c r="E678" s="6">
        <f>IF(ISBLANK(Raw_Data!E678), "", DATEVALUE(TEXT(Raw_Data!E678, "YYYY-MM-DD")))</f>
        <v>46080</v>
      </c>
      <c r="F678" s="5">
        <f t="shared" si="1"/>
        <v>6</v>
      </c>
      <c r="G678" s="5">
        <f t="shared" si="2"/>
        <v>5</v>
      </c>
      <c r="H678" s="5" t="str">
        <f t="shared" si="3"/>
        <v>ON TIME</v>
      </c>
      <c r="I678" s="5">
        <f>Raw_Data!F678</f>
        <v>7510</v>
      </c>
      <c r="J678" s="5">
        <f t="shared" si="4"/>
        <v>0</v>
      </c>
    </row>
    <row r="679">
      <c r="A679" s="5" t="str">
        <f>Raw_Data!A679</f>
        <v>TRK100677</v>
      </c>
      <c r="B679" s="5" t="str">
        <f>TRIM(Raw_Data!B679)</f>
        <v>Delhivery</v>
      </c>
      <c r="C679" s="5" t="str">
        <f>TRIM(Raw_Data!C679)</f>
        <v>Tier 3</v>
      </c>
      <c r="D679" s="6">
        <f>DATEVALUE(TEXT(Raw_Data!D679, "YYYY-MM-DD"))</f>
        <v>46029</v>
      </c>
      <c r="E679" s="6">
        <f>IF(ISBLANK(Raw_Data!E679), "", DATEVALUE(TEXT(Raw_Data!E679, "YYYY-MM-DD")))</f>
        <v>46035</v>
      </c>
      <c r="F679" s="5">
        <f t="shared" si="1"/>
        <v>6</v>
      </c>
      <c r="G679" s="5">
        <f t="shared" si="2"/>
        <v>5</v>
      </c>
      <c r="H679" s="5" t="str">
        <f t="shared" si="3"/>
        <v>ON TIME</v>
      </c>
      <c r="I679" s="5">
        <f>Raw_Data!F679</f>
        <v>11707</v>
      </c>
      <c r="J679" s="5">
        <f t="shared" si="4"/>
        <v>0</v>
      </c>
    </row>
    <row r="680">
      <c r="A680" s="5" t="str">
        <f>Raw_Data!A680</f>
        <v>TRK100678</v>
      </c>
      <c r="B680" s="5" t="str">
        <f>TRIM(Raw_Data!B680)</f>
        <v>EcomExpress</v>
      </c>
      <c r="C680" s="5" t="str">
        <f>TRIM(Raw_Data!C680)</f>
        <v>Metro</v>
      </c>
      <c r="D680" s="6">
        <f>DATEVALUE(TEXT(Raw_Data!D680, "YYYY-MM-DD"))</f>
        <v>46056</v>
      </c>
      <c r="E680" s="6">
        <f>IF(ISBLANK(Raw_Data!E680), "", DATEVALUE(TEXT(Raw_Data!E680, "YYYY-MM-DD")))</f>
        <v>46061</v>
      </c>
      <c r="F680" s="5">
        <f t="shared" si="1"/>
        <v>2</v>
      </c>
      <c r="G680" s="5">
        <f t="shared" si="2"/>
        <v>4</v>
      </c>
      <c r="H680" s="5" t="str">
        <f t="shared" si="3"/>
        <v>SLA BREACH</v>
      </c>
      <c r="I680" s="5">
        <f>Raw_Data!F680</f>
        <v>7617</v>
      </c>
      <c r="J680" s="5">
        <f t="shared" si="4"/>
        <v>380.85</v>
      </c>
    </row>
    <row r="681">
      <c r="A681" s="5" t="str">
        <f>Raw_Data!A681</f>
        <v>TRK100679</v>
      </c>
      <c r="B681" s="5" t="str">
        <f>TRIM(Raw_Data!B681)</f>
        <v>BlueDart</v>
      </c>
      <c r="C681" s="5" t="str">
        <f>TRIM(Raw_Data!C681)</f>
        <v>Metro</v>
      </c>
      <c r="D681" s="6">
        <f>DATEVALUE(TEXT(Raw_Data!D681, "YYYY-MM-DD"))</f>
        <v>46038</v>
      </c>
      <c r="E681" s="6">
        <f>IF(ISBLANK(Raw_Data!E681), "", DATEVALUE(TEXT(Raw_Data!E681, "YYYY-MM-DD")))</f>
        <v>46042</v>
      </c>
      <c r="F681" s="5">
        <f t="shared" si="1"/>
        <v>2</v>
      </c>
      <c r="G681" s="5">
        <f t="shared" si="2"/>
        <v>3</v>
      </c>
      <c r="H681" s="5" t="str">
        <f t="shared" si="3"/>
        <v>SLA BREACH</v>
      </c>
      <c r="I681" s="5">
        <f>Raw_Data!F681</f>
        <v>11581</v>
      </c>
      <c r="J681" s="5">
        <f t="shared" si="4"/>
        <v>579.05</v>
      </c>
    </row>
    <row r="682">
      <c r="A682" s="5" t="str">
        <f>Raw_Data!A682</f>
        <v>TRK100680</v>
      </c>
      <c r="B682" s="5" t="str">
        <f>TRIM(Raw_Data!B682)</f>
        <v>EcomExpress</v>
      </c>
      <c r="C682" s="5" t="str">
        <f>TRIM(Raw_Data!C682)</f>
        <v>Metro</v>
      </c>
      <c r="D682" s="6">
        <f>DATEVALUE(TEXT(Raw_Data!D682, "YYYY-MM-DD"))</f>
        <v>46062</v>
      </c>
      <c r="E682" s="6">
        <f>IF(ISBLANK(Raw_Data!E682), "", DATEVALUE(TEXT(Raw_Data!E682, "YYYY-MM-DD")))</f>
        <v>46065</v>
      </c>
      <c r="F682" s="5">
        <f t="shared" si="1"/>
        <v>2</v>
      </c>
      <c r="G682" s="5">
        <f t="shared" si="2"/>
        <v>4</v>
      </c>
      <c r="H682" s="5" t="str">
        <f t="shared" si="3"/>
        <v>SLA BREACH</v>
      </c>
      <c r="I682" s="5">
        <f>Raw_Data!F682</f>
        <v>9653</v>
      </c>
      <c r="J682" s="5">
        <f t="shared" si="4"/>
        <v>482.65</v>
      </c>
    </row>
    <row r="683">
      <c r="A683" s="5" t="str">
        <f>Raw_Data!A683</f>
        <v>TRK100681</v>
      </c>
      <c r="B683" s="5" t="str">
        <f>TRIM(Raw_Data!B683)</f>
        <v>BlueDart</v>
      </c>
      <c r="C683" s="5" t="str">
        <f>TRIM(Raw_Data!C683)</f>
        <v>Metro</v>
      </c>
      <c r="D683" s="6">
        <f>DATEVALUE(TEXT(Raw_Data!D683, "YYYY-MM-DD"))</f>
        <v>46039</v>
      </c>
      <c r="E683" s="6">
        <f>IF(ISBLANK(Raw_Data!E683), "", DATEVALUE(TEXT(Raw_Data!E683, "YYYY-MM-DD")))</f>
        <v>46041</v>
      </c>
      <c r="F683" s="5">
        <f t="shared" si="1"/>
        <v>2</v>
      </c>
      <c r="G683" s="5">
        <f t="shared" si="2"/>
        <v>1</v>
      </c>
      <c r="H683" s="5" t="str">
        <f t="shared" si="3"/>
        <v>ON TIME</v>
      </c>
      <c r="I683" s="5">
        <f>Raw_Data!F683</f>
        <v>3489</v>
      </c>
      <c r="J683" s="5">
        <f t="shared" si="4"/>
        <v>0</v>
      </c>
    </row>
    <row r="684">
      <c r="A684" s="5" t="str">
        <f>Raw_Data!A684</f>
        <v>TRK100682</v>
      </c>
      <c r="B684" s="5" t="str">
        <f>TRIM(Raw_Data!B684)</f>
        <v>EcomExpress</v>
      </c>
      <c r="C684" s="5" t="str">
        <f>TRIM(Raw_Data!C684)</f>
        <v>Tier 3</v>
      </c>
      <c r="D684" s="6">
        <f>DATEVALUE(TEXT(Raw_Data!D684, "YYYY-MM-DD"))</f>
        <v>46040</v>
      </c>
      <c r="E684" s="6">
        <f>IF(ISBLANK(Raw_Data!E684), "", DATEVALUE(TEXT(Raw_Data!E684, "YYYY-MM-DD")))</f>
        <v>46046</v>
      </c>
      <c r="F684" s="5">
        <f t="shared" si="1"/>
        <v>6</v>
      </c>
      <c r="G684" s="5">
        <f t="shared" si="2"/>
        <v>5</v>
      </c>
      <c r="H684" s="5" t="str">
        <f t="shared" si="3"/>
        <v>ON TIME</v>
      </c>
      <c r="I684" s="5">
        <f>Raw_Data!F684</f>
        <v>9718</v>
      </c>
      <c r="J684" s="5">
        <f t="shared" si="4"/>
        <v>0</v>
      </c>
    </row>
    <row r="685">
      <c r="A685" s="5" t="str">
        <f>Raw_Data!A685</f>
        <v>TRK100683</v>
      </c>
      <c r="B685" s="5" t="str">
        <f>TRIM(Raw_Data!B685)</f>
        <v>Delhivery</v>
      </c>
      <c r="C685" s="5" t="str">
        <f>TRIM(Raw_Data!C685)</f>
        <v>Metro</v>
      </c>
      <c r="D685" s="6">
        <f>DATEVALUE(TEXT(Raw_Data!D685, "YYYY-MM-DD"))</f>
        <v>46048</v>
      </c>
      <c r="E685" s="6">
        <f>IF(ISBLANK(Raw_Data!E685), "", DATEVALUE(TEXT(Raw_Data!E685, "YYYY-MM-DD")))</f>
        <v>46050</v>
      </c>
      <c r="F685" s="5">
        <f t="shared" si="1"/>
        <v>2</v>
      </c>
      <c r="G685" s="5">
        <f t="shared" si="2"/>
        <v>3</v>
      </c>
      <c r="H685" s="5" t="str">
        <f t="shared" si="3"/>
        <v>SLA BREACH</v>
      </c>
      <c r="I685" s="5">
        <f>Raw_Data!F685</f>
        <v>6728</v>
      </c>
      <c r="J685" s="5">
        <f t="shared" si="4"/>
        <v>336.4</v>
      </c>
    </row>
    <row r="686">
      <c r="A686" s="5" t="str">
        <f>Raw_Data!A686</f>
        <v>TRK100684</v>
      </c>
      <c r="B686" s="5" t="str">
        <f>TRIM(Raw_Data!B686)</f>
        <v>BlueDart</v>
      </c>
      <c r="C686" s="5" t="str">
        <f>TRIM(Raw_Data!C686)</f>
        <v>Tier 3</v>
      </c>
      <c r="D686" s="6">
        <f>DATEVALUE(TEXT(Raw_Data!D686, "YYYY-MM-DD"))</f>
        <v>46046</v>
      </c>
      <c r="E686" s="6">
        <f>IF(ISBLANK(Raw_Data!E686), "", DATEVALUE(TEXT(Raw_Data!E686, "YYYY-MM-DD")))</f>
        <v>46055</v>
      </c>
      <c r="F686" s="5">
        <f t="shared" si="1"/>
        <v>6</v>
      </c>
      <c r="G686" s="5">
        <f t="shared" si="2"/>
        <v>6</v>
      </c>
      <c r="H686" s="5" t="str">
        <f t="shared" si="3"/>
        <v>ON TIME</v>
      </c>
      <c r="I686" s="5">
        <f>Raw_Data!F686</f>
        <v>6971</v>
      </c>
      <c r="J686" s="5">
        <f t="shared" si="4"/>
        <v>0</v>
      </c>
    </row>
    <row r="687">
      <c r="A687" s="5" t="str">
        <f>Raw_Data!A687</f>
        <v>TRK100685</v>
      </c>
      <c r="B687" s="5" t="str">
        <f>TRIM(Raw_Data!B687)</f>
        <v>BlueDart</v>
      </c>
      <c r="C687" s="5" t="str">
        <f>TRIM(Raw_Data!C687)</f>
        <v>Metro</v>
      </c>
      <c r="D687" s="6">
        <f>DATEVALUE(TEXT(Raw_Data!D687, "YYYY-MM-DD"))</f>
        <v>46052</v>
      </c>
      <c r="E687" s="6">
        <f>IF(ISBLANK(Raw_Data!E687), "", DATEVALUE(TEXT(Raw_Data!E687, "YYYY-MM-DD")))</f>
        <v>46054</v>
      </c>
      <c r="F687" s="5">
        <f t="shared" si="1"/>
        <v>2</v>
      </c>
      <c r="G687" s="5">
        <f t="shared" si="2"/>
        <v>1</v>
      </c>
      <c r="H687" s="5" t="str">
        <f t="shared" si="3"/>
        <v>ON TIME</v>
      </c>
      <c r="I687" s="5">
        <f>Raw_Data!F687</f>
        <v>3363</v>
      </c>
      <c r="J687" s="5">
        <f t="shared" si="4"/>
        <v>0</v>
      </c>
    </row>
    <row r="688">
      <c r="A688" s="5" t="str">
        <f>Raw_Data!A688</f>
        <v>TRK100686</v>
      </c>
      <c r="B688" s="5" t="str">
        <f>TRIM(Raw_Data!B688)</f>
        <v>Delhivery</v>
      </c>
      <c r="C688" s="5" t="str">
        <f>TRIM(Raw_Data!C688)</f>
        <v>Tier 2</v>
      </c>
      <c r="D688" s="6">
        <f>DATEVALUE(TEXT(Raw_Data!D688, "YYYY-MM-DD"))</f>
        <v>46038</v>
      </c>
      <c r="E688" s="6">
        <f>IF(ISBLANK(Raw_Data!E688), "", DATEVALUE(TEXT(Raw_Data!E688, "YYYY-MM-DD")))</f>
        <v>46042</v>
      </c>
      <c r="F688" s="5">
        <f t="shared" si="1"/>
        <v>4</v>
      </c>
      <c r="G688" s="5">
        <f t="shared" si="2"/>
        <v>3</v>
      </c>
      <c r="H688" s="5" t="str">
        <f t="shared" si="3"/>
        <v>ON TIME</v>
      </c>
      <c r="I688" s="5">
        <f>Raw_Data!F688</f>
        <v>11193</v>
      </c>
      <c r="J688" s="5">
        <f t="shared" si="4"/>
        <v>0</v>
      </c>
    </row>
    <row r="689">
      <c r="A689" s="5" t="str">
        <f>Raw_Data!A689</f>
        <v>TRK100687</v>
      </c>
      <c r="B689" s="5" t="str">
        <f>TRIM(Raw_Data!B689)</f>
        <v>EcomExpress</v>
      </c>
      <c r="C689" s="5" t="str">
        <f>TRIM(Raw_Data!C689)</f>
        <v>Tier 2</v>
      </c>
      <c r="D689" s="6">
        <f>DATEVALUE(TEXT(Raw_Data!D689, "YYYY-MM-DD"))</f>
        <v>46037</v>
      </c>
      <c r="E689" s="6">
        <f>IF(ISBLANK(Raw_Data!E689), "", DATEVALUE(TEXT(Raw_Data!E689, "YYYY-MM-DD")))</f>
        <v>46041</v>
      </c>
      <c r="F689" s="5">
        <f t="shared" si="1"/>
        <v>4</v>
      </c>
      <c r="G689" s="5">
        <f t="shared" si="2"/>
        <v>3</v>
      </c>
      <c r="H689" s="5" t="str">
        <f t="shared" si="3"/>
        <v>ON TIME</v>
      </c>
      <c r="I689" s="5">
        <f>Raw_Data!F689</f>
        <v>10639</v>
      </c>
      <c r="J689" s="5">
        <f t="shared" si="4"/>
        <v>0</v>
      </c>
    </row>
    <row r="690">
      <c r="A690" s="5" t="str">
        <f>Raw_Data!A690</f>
        <v>TRK100688</v>
      </c>
      <c r="B690" s="5" t="str">
        <f>TRIM(Raw_Data!B690)</f>
        <v>BlueDart</v>
      </c>
      <c r="C690" s="5" t="str">
        <f>TRIM(Raw_Data!C690)</f>
        <v>Tier 3</v>
      </c>
      <c r="D690" s="6">
        <f>DATEVALUE(TEXT(Raw_Data!D690, "YYYY-MM-DD"))</f>
        <v>46066</v>
      </c>
      <c r="E690" s="6">
        <f>IF(ISBLANK(Raw_Data!E690), "", DATEVALUE(TEXT(Raw_Data!E690, "YYYY-MM-DD")))</f>
        <v>46073</v>
      </c>
      <c r="F690" s="5">
        <f t="shared" si="1"/>
        <v>6</v>
      </c>
      <c r="G690" s="5">
        <f t="shared" si="2"/>
        <v>6</v>
      </c>
      <c r="H690" s="5" t="str">
        <f t="shared" si="3"/>
        <v>ON TIME</v>
      </c>
      <c r="I690" s="5">
        <f>Raw_Data!F690</f>
        <v>1677</v>
      </c>
      <c r="J690" s="5">
        <f t="shared" si="4"/>
        <v>0</v>
      </c>
    </row>
    <row r="691">
      <c r="A691" s="5" t="str">
        <f>Raw_Data!A691</f>
        <v>TRK100689</v>
      </c>
      <c r="B691" s="5" t="str">
        <f>TRIM(Raw_Data!B691)</f>
        <v>Delhivery</v>
      </c>
      <c r="C691" s="5" t="str">
        <f>TRIM(Raw_Data!C691)</f>
        <v>Tier 2</v>
      </c>
      <c r="D691" s="6">
        <f>DATEVALUE(TEXT(Raw_Data!D691, "YYYY-MM-DD"))</f>
        <v>46064</v>
      </c>
      <c r="E691" s="6">
        <f>IF(ISBLANK(Raw_Data!E691), "", DATEVALUE(TEXT(Raw_Data!E691, "YYYY-MM-DD")))</f>
        <v>46068</v>
      </c>
      <c r="F691" s="5">
        <f t="shared" si="1"/>
        <v>4</v>
      </c>
      <c r="G691" s="5">
        <f t="shared" si="2"/>
        <v>3</v>
      </c>
      <c r="H691" s="5" t="str">
        <f t="shared" si="3"/>
        <v>ON TIME</v>
      </c>
      <c r="I691" s="5">
        <f>Raw_Data!F691</f>
        <v>5260</v>
      </c>
      <c r="J691" s="5">
        <f t="shared" si="4"/>
        <v>0</v>
      </c>
    </row>
    <row r="692">
      <c r="A692" s="5" t="str">
        <f>Raw_Data!A692</f>
        <v>TRK100690</v>
      </c>
      <c r="B692" s="5" t="str">
        <f>TRIM(Raw_Data!B692)</f>
        <v>BlueDart</v>
      </c>
      <c r="C692" s="5" t="str">
        <f>TRIM(Raw_Data!C692)</f>
        <v>Tier 2</v>
      </c>
      <c r="D692" s="6">
        <f>DATEVALUE(TEXT(Raw_Data!D692, "YYYY-MM-DD"))</f>
        <v>46071</v>
      </c>
      <c r="E692" s="6">
        <f>IF(ISBLANK(Raw_Data!E692), "", DATEVALUE(TEXT(Raw_Data!E692, "YYYY-MM-DD")))</f>
        <v>46075</v>
      </c>
      <c r="F692" s="5">
        <f t="shared" si="1"/>
        <v>4</v>
      </c>
      <c r="G692" s="5">
        <f t="shared" si="2"/>
        <v>3</v>
      </c>
      <c r="H692" s="5" t="str">
        <f t="shared" si="3"/>
        <v>ON TIME</v>
      </c>
      <c r="I692" s="5">
        <f>Raw_Data!F692</f>
        <v>511</v>
      </c>
      <c r="J692" s="5">
        <f t="shared" si="4"/>
        <v>0</v>
      </c>
    </row>
    <row r="693">
      <c r="A693" s="5" t="str">
        <f>Raw_Data!A693</f>
        <v>TRK100691</v>
      </c>
      <c r="B693" s="5" t="str">
        <f>TRIM(Raw_Data!B693)</f>
        <v>BlueDart</v>
      </c>
      <c r="C693" s="5" t="str">
        <f>TRIM(Raw_Data!C693)</f>
        <v>Tier 3</v>
      </c>
      <c r="D693" s="6">
        <f>DATEVALUE(TEXT(Raw_Data!D693, "YYYY-MM-DD"))</f>
        <v>46028</v>
      </c>
      <c r="E693" s="6">
        <f>IF(ISBLANK(Raw_Data!E693), "", DATEVALUE(TEXT(Raw_Data!E693, "YYYY-MM-DD")))</f>
        <v>46034</v>
      </c>
      <c r="F693" s="5">
        <f t="shared" si="1"/>
        <v>6</v>
      </c>
      <c r="G693" s="5">
        <f t="shared" si="2"/>
        <v>5</v>
      </c>
      <c r="H693" s="5" t="str">
        <f t="shared" si="3"/>
        <v>ON TIME</v>
      </c>
      <c r="I693" s="5">
        <f>Raw_Data!F693</f>
        <v>5752</v>
      </c>
      <c r="J693" s="5">
        <f t="shared" si="4"/>
        <v>0</v>
      </c>
    </row>
    <row r="694">
      <c r="A694" s="5" t="str">
        <f>Raw_Data!A694</f>
        <v>TRK100692</v>
      </c>
      <c r="B694" s="5" t="str">
        <f>TRIM(Raw_Data!B694)</f>
        <v>BlueDart</v>
      </c>
      <c r="C694" s="5" t="str">
        <f>TRIM(Raw_Data!C694)</f>
        <v>Tier 2</v>
      </c>
      <c r="D694" s="6">
        <f>DATEVALUE(TEXT(Raw_Data!D694, "YYYY-MM-DD"))</f>
        <v>46047</v>
      </c>
      <c r="E694" s="6">
        <f>IF(ISBLANK(Raw_Data!E694), "", DATEVALUE(TEXT(Raw_Data!E694, "YYYY-MM-DD")))</f>
        <v>46051</v>
      </c>
      <c r="F694" s="5">
        <f t="shared" si="1"/>
        <v>4</v>
      </c>
      <c r="G694" s="5">
        <f t="shared" si="2"/>
        <v>4</v>
      </c>
      <c r="H694" s="5" t="str">
        <f t="shared" si="3"/>
        <v>ON TIME</v>
      </c>
      <c r="I694" s="5">
        <f>Raw_Data!F694</f>
        <v>4899</v>
      </c>
      <c r="J694" s="5">
        <f t="shared" si="4"/>
        <v>0</v>
      </c>
    </row>
    <row r="695">
      <c r="A695" s="5" t="str">
        <f>Raw_Data!A695</f>
        <v>TRK100693</v>
      </c>
      <c r="B695" s="5" t="str">
        <f>TRIM(Raw_Data!B695)</f>
        <v>EcomExpress</v>
      </c>
      <c r="C695" s="5" t="str">
        <f>TRIM(Raw_Data!C695)</f>
        <v>Tier 2</v>
      </c>
      <c r="D695" s="6">
        <f>DATEVALUE(TEXT(Raw_Data!D695, "YYYY-MM-DD"))</f>
        <v>46058</v>
      </c>
      <c r="E695" s="6">
        <f>IF(ISBLANK(Raw_Data!E695), "", DATEVALUE(TEXT(Raw_Data!E695, "YYYY-MM-DD")))</f>
        <v>46062</v>
      </c>
      <c r="F695" s="5">
        <f t="shared" si="1"/>
        <v>4</v>
      </c>
      <c r="G695" s="5">
        <f t="shared" si="2"/>
        <v>3</v>
      </c>
      <c r="H695" s="5" t="str">
        <f t="shared" si="3"/>
        <v>ON TIME</v>
      </c>
      <c r="I695" s="5">
        <f>Raw_Data!F695</f>
        <v>11714</v>
      </c>
      <c r="J695" s="5">
        <f t="shared" si="4"/>
        <v>0</v>
      </c>
    </row>
    <row r="696">
      <c r="A696" s="5" t="str">
        <f>Raw_Data!A696</f>
        <v>TRK100694</v>
      </c>
      <c r="B696" s="5" t="str">
        <f>TRIM(Raw_Data!B696)</f>
        <v>Delhivery</v>
      </c>
      <c r="C696" s="5" t="str">
        <f>TRIM(Raw_Data!C696)</f>
        <v>Tier 2</v>
      </c>
      <c r="D696" s="6">
        <f>DATEVALUE(TEXT(Raw_Data!D696, "YYYY-MM-DD"))</f>
        <v>46026</v>
      </c>
      <c r="E696" s="6">
        <f>IF(ISBLANK(Raw_Data!E696), "", DATEVALUE(TEXT(Raw_Data!E696, "YYYY-MM-DD")))</f>
        <v>46030</v>
      </c>
      <c r="F696" s="5">
        <f t="shared" si="1"/>
        <v>4</v>
      </c>
      <c r="G696" s="5">
        <f t="shared" si="2"/>
        <v>4</v>
      </c>
      <c r="H696" s="5" t="str">
        <f t="shared" si="3"/>
        <v>ON TIME</v>
      </c>
      <c r="I696" s="5">
        <f>Raw_Data!F696</f>
        <v>11522</v>
      </c>
      <c r="J696" s="5">
        <f t="shared" si="4"/>
        <v>0</v>
      </c>
    </row>
    <row r="697">
      <c r="A697" s="5" t="str">
        <f>Raw_Data!A697</f>
        <v>TRK100695</v>
      </c>
      <c r="B697" s="5" t="str">
        <f>TRIM(Raw_Data!B697)</f>
        <v>Delhivery</v>
      </c>
      <c r="C697" s="5" t="str">
        <f>TRIM(Raw_Data!C697)</f>
        <v>Metro</v>
      </c>
      <c r="D697" s="6">
        <f>DATEVALUE(TEXT(Raw_Data!D697, "YYYY-MM-DD"))</f>
        <v>46023</v>
      </c>
      <c r="E697" s="6">
        <f>IF(ISBLANK(Raw_Data!E697), "", DATEVALUE(TEXT(Raw_Data!E697, "YYYY-MM-DD")))</f>
        <v>46025</v>
      </c>
      <c r="F697" s="5">
        <f t="shared" si="1"/>
        <v>2</v>
      </c>
      <c r="G697" s="5">
        <f t="shared" si="2"/>
        <v>2</v>
      </c>
      <c r="H697" s="5" t="str">
        <f t="shared" si="3"/>
        <v>ON TIME</v>
      </c>
      <c r="I697" s="5">
        <f>Raw_Data!F697</f>
        <v>8734</v>
      </c>
      <c r="J697" s="5">
        <f t="shared" si="4"/>
        <v>0</v>
      </c>
    </row>
    <row r="698">
      <c r="A698" s="5" t="str">
        <f>Raw_Data!A698</f>
        <v>TRK100696</v>
      </c>
      <c r="B698" s="5" t="str">
        <f>TRIM(Raw_Data!B698)</f>
        <v>Delhivery</v>
      </c>
      <c r="C698" s="5" t="str">
        <f>TRIM(Raw_Data!C698)</f>
        <v>Tier 3</v>
      </c>
      <c r="D698" s="6">
        <f>DATEVALUE(TEXT(Raw_Data!D698, "YYYY-MM-DD"))</f>
        <v>46033</v>
      </c>
      <c r="E698" s="6">
        <f>IF(ISBLANK(Raw_Data!E698), "", DATEVALUE(TEXT(Raw_Data!E698, "YYYY-MM-DD")))</f>
        <v>46039</v>
      </c>
      <c r="F698" s="5">
        <f t="shared" si="1"/>
        <v>6</v>
      </c>
      <c r="G698" s="5">
        <f t="shared" si="2"/>
        <v>5</v>
      </c>
      <c r="H698" s="5" t="str">
        <f t="shared" si="3"/>
        <v>ON TIME</v>
      </c>
      <c r="I698" s="5">
        <f>Raw_Data!F698</f>
        <v>9635</v>
      </c>
      <c r="J698" s="5">
        <f t="shared" si="4"/>
        <v>0</v>
      </c>
    </row>
    <row r="699">
      <c r="A699" s="5" t="str">
        <f>Raw_Data!A699</f>
        <v>TRK100697</v>
      </c>
      <c r="B699" s="5" t="str">
        <f>TRIM(Raw_Data!B699)</f>
        <v>Delhivery</v>
      </c>
      <c r="C699" s="5" t="str">
        <f>TRIM(Raw_Data!C699)</f>
        <v>Metro</v>
      </c>
      <c r="D699" s="6">
        <f>DATEVALUE(TEXT(Raw_Data!D699, "YYYY-MM-DD"))</f>
        <v>46054</v>
      </c>
      <c r="E699" s="6">
        <f>IF(ISBLANK(Raw_Data!E699), "", DATEVALUE(TEXT(Raw_Data!E699, "YYYY-MM-DD")))</f>
        <v>46056</v>
      </c>
      <c r="F699" s="5">
        <f t="shared" si="1"/>
        <v>2</v>
      </c>
      <c r="G699" s="5">
        <f t="shared" si="2"/>
        <v>2</v>
      </c>
      <c r="H699" s="5" t="str">
        <f t="shared" si="3"/>
        <v>ON TIME</v>
      </c>
      <c r="I699" s="5">
        <f>Raw_Data!F699</f>
        <v>11082</v>
      </c>
      <c r="J699" s="5">
        <f t="shared" si="4"/>
        <v>0</v>
      </c>
    </row>
    <row r="700">
      <c r="A700" s="5" t="str">
        <f>Raw_Data!A700</f>
        <v>TRK100698</v>
      </c>
      <c r="B700" s="5" t="str">
        <f>TRIM(Raw_Data!B700)</f>
        <v>BlueDart</v>
      </c>
      <c r="C700" s="5" t="str">
        <f>TRIM(Raw_Data!C700)</f>
        <v>Tier 2</v>
      </c>
      <c r="D700" s="6">
        <f>DATEVALUE(TEXT(Raw_Data!D700, "YYYY-MM-DD"))</f>
        <v>46064</v>
      </c>
      <c r="E700" s="6">
        <f>IF(ISBLANK(Raw_Data!E700), "", DATEVALUE(TEXT(Raw_Data!E700, "YYYY-MM-DD")))</f>
        <v>46068</v>
      </c>
      <c r="F700" s="5">
        <f t="shared" si="1"/>
        <v>4</v>
      </c>
      <c r="G700" s="5">
        <f t="shared" si="2"/>
        <v>3</v>
      </c>
      <c r="H700" s="5" t="str">
        <f t="shared" si="3"/>
        <v>ON TIME</v>
      </c>
      <c r="I700" s="5">
        <f>Raw_Data!F700</f>
        <v>5945</v>
      </c>
      <c r="J700" s="5">
        <f t="shared" si="4"/>
        <v>0</v>
      </c>
    </row>
    <row r="701">
      <c r="A701" s="5" t="str">
        <f>Raw_Data!A701</f>
        <v>TRK100699</v>
      </c>
      <c r="B701" s="5" t="str">
        <f>TRIM(Raw_Data!B701)</f>
        <v>EcomExpress</v>
      </c>
      <c r="C701" s="5" t="str">
        <f>TRIM(Raw_Data!C701)</f>
        <v>Tier 2</v>
      </c>
      <c r="D701" s="6">
        <f>DATEVALUE(TEXT(Raw_Data!D701, "YYYY-MM-DD"))</f>
        <v>46044</v>
      </c>
      <c r="E701" s="6" t="str">
        <f>IF(ISBLANK(Raw_Data!E701), "", DATEVALUE(TEXT(Raw_Data!E701, "YYYY-MM-DD")))</f>
        <v/>
      </c>
      <c r="F701" s="5">
        <f t="shared" si="1"/>
        <v>4</v>
      </c>
      <c r="G701" s="5" t="str">
        <f t="shared" si="2"/>
        <v>In-Transit</v>
      </c>
      <c r="H701" s="5" t="str">
        <f t="shared" si="3"/>
        <v>Pending</v>
      </c>
      <c r="I701" s="5">
        <f>Raw_Data!F701</f>
        <v>11237</v>
      </c>
      <c r="J701" s="5">
        <f t="shared" si="4"/>
        <v>0</v>
      </c>
    </row>
    <row r="702">
      <c r="A702" s="5" t="str">
        <f>Raw_Data!A702</f>
        <v>TRK100700</v>
      </c>
      <c r="B702" s="5" t="str">
        <f>TRIM(Raw_Data!B702)</f>
        <v>Delhivery</v>
      </c>
      <c r="C702" s="5" t="str">
        <f>TRIM(Raw_Data!C702)</f>
        <v>Metro</v>
      </c>
      <c r="D702" s="6">
        <f>DATEVALUE(TEXT(Raw_Data!D702, "YYYY-MM-DD"))</f>
        <v>46077</v>
      </c>
      <c r="E702" s="6">
        <f>IF(ISBLANK(Raw_Data!E702), "", DATEVALUE(TEXT(Raw_Data!E702, "YYYY-MM-DD")))</f>
        <v>46079</v>
      </c>
      <c r="F702" s="5">
        <f t="shared" si="1"/>
        <v>2</v>
      </c>
      <c r="G702" s="5">
        <f t="shared" si="2"/>
        <v>3</v>
      </c>
      <c r="H702" s="5" t="str">
        <f t="shared" si="3"/>
        <v>SLA BREACH</v>
      </c>
      <c r="I702" s="5">
        <f>Raw_Data!F702</f>
        <v>11103</v>
      </c>
      <c r="J702" s="5">
        <f t="shared" si="4"/>
        <v>555.15</v>
      </c>
    </row>
    <row r="703">
      <c r="A703" s="5" t="str">
        <f>Raw_Data!A703</f>
        <v>TRK100701</v>
      </c>
      <c r="B703" s="5" t="str">
        <f>TRIM(Raw_Data!B703)</f>
        <v>EcomExpress</v>
      </c>
      <c r="C703" s="5" t="str">
        <f>TRIM(Raw_Data!C703)</f>
        <v>Tier 2</v>
      </c>
      <c r="D703" s="6">
        <f>DATEVALUE(TEXT(Raw_Data!D703, "YYYY-MM-DD"))</f>
        <v>46080</v>
      </c>
      <c r="E703" s="6">
        <f>IF(ISBLANK(Raw_Data!E703), "", DATEVALUE(TEXT(Raw_Data!E703, "YYYY-MM-DD")))</f>
        <v>46084</v>
      </c>
      <c r="F703" s="5">
        <f t="shared" si="1"/>
        <v>4</v>
      </c>
      <c r="G703" s="5">
        <f t="shared" si="2"/>
        <v>3</v>
      </c>
      <c r="H703" s="5" t="str">
        <f t="shared" si="3"/>
        <v>ON TIME</v>
      </c>
      <c r="I703" s="5">
        <f>Raw_Data!F703</f>
        <v>7070</v>
      </c>
      <c r="J703" s="5">
        <f t="shared" si="4"/>
        <v>0</v>
      </c>
    </row>
    <row r="704">
      <c r="A704" s="5" t="str">
        <f>Raw_Data!A704</f>
        <v>TRK100702</v>
      </c>
      <c r="B704" s="5" t="str">
        <f>TRIM(Raw_Data!B704)</f>
        <v>Delhivery</v>
      </c>
      <c r="C704" s="5" t="str">
        <f>TRIM(Raw_Data!C704)</f>
        <v>Tier 3</v>
      </c>
      <c r="D704" s="6">
        <f>DATEVALUE(TEXT(Raw_Data!D704, "YYYY-MM-DD"))</f>
        <v>46081</v>
      </c>
      <c r="E704" s="6">
        <f>IF(ISBLANK(Raw_Data!E704), "", DATEVALUE(TEXT(Raw_Data!E704, "YYYY-MM-DD")))</f>
        <v>46087</v>
      </c>
      <c r="F704" s="5">
        <f t="shared" si="1"/>
        <v>6</v>
      </c>
      <c r="G704" s="5">
        <f t="shared" si="2"/>
        <v>5</v>
      </c>
      <c r="H704" s="5" t="str">
        <f t="shared" si="3"/>
        <v>ON TIME</v>
      </c>
      <c r="I704" s="5">
        <f>Raw_Data!F704</f>
        <v>9696</v>
      </c>
      <c r="J704" s="5">
        <f t="shared" si="4"/>
        <v>0</v>
      </c>
    </row>
    <row r="705">
      <c r="A705" s="5" t="str">
        <f>Raw_Data!A705</f>
        <v>TRK100703</v>
      </c>
      <c r="B705" s="5" t="str">
        <f>TRIM(Raw_Data!B705)</f>
        <v>Delhivery</v>
      </c>
      <c r="C705" s="5" t="str">
        <f>TRIM(Raw_Data!C705)</f>
        <v>Tier 3</v>
      </c>
      <c r="D705" s="6">
        <f>DATEVALUE(TEXT(Raw_Data!D705, "YYYY-MM-DD"))</f>
        <v>46037</v>
      </c>
      <c r="E705" s="6">
        <f>IF(ISBLANK(Raw_Data!E705), "", DATEVALUE(TEXT(Raw_Data!E705, "YYYY-MM-DD")))</f>
        <v>46043</v>
      </c>
      <c r="F705" s="5">
        <f t="shared" si="1"/>
        <v>6</v>
      </c>
      <c r="G705" s="5">
        <f t="shared" si="2"/>
        <v>5</v>
      </c>
      <c r="H705" s="5" t="str">
        <f t="shared" si="3"/>
        <v>ON TIME</v>
      </c>
      <c r="I705" s="5">
        <f>Raw_Data!F705</f>
        <v>8712</v>
      </c>
      <c r="J705" s="5">
        <f t="shared" si="4"/>
        <v>0</v>
      </c>
    </row>
    <row r="706">
      <c r="A706" s="5" t="str">
        <f>Raw_Data!A706</f>
        <v>TRK100704</v>
      </c>
      <c r="B706" s="5" t="str">
        <f>TRIM(Raw_Data!B706)</f>
        <v>BlueDart</v>
      </c>
      <c r="C706" s="5" t="str">
        <f>TRIM(Raw_Data!C706)</f>
        <v>Tier 3</v>
      </c>
      <c r="D706" s="6">
        <f>DATEVALUE(TEXT(Raw_Data!D706, "YYYY-MM-DD"))</f>
        <v>46080</v>
      </c>
      <c r="E706" s="6">
        <f>IF(ISBLANK(Raw_Data!E706), "", DATEVALUE(TEXT(Raw_Data!E706, "YYYY-MM-DD")))</f>
        <v>46086</v>
      </c>
      <c r="F706" s="5">
        <f t="shared" si="1"/>
        <v>6</v>
      </c>
      <c r="G706" s="5">
        <f t="shared" si="2"/>
        <v>5</v>
      </c>
      <c r="H706" s="5" t="str">
        <f t="shared" si="3"/>
        <v>ON TIME</v>
      </c>
      <c r="I706" s="5">
        <f>Raw_Data!F706</f>
        <v>906</v>
      </c>
      <c r="J706" s="5">
        <f t="shared" si="4"/>
        <v>0</v>
      </c>
    </row>
    <row r="707">
      <c r="A707" s="5" t="str">
        <f>Raw_Data!A707</f>
        <v>TRK100705</v>
      </c>
      <c r="B707" s="5" t="str">
        <f>TRIM(Raw_Data!B707)</f>
        <v>BlueDart</v>
      </c>
      <c r="C707" s="5" t="str">
        <f>TRIM(Raw_Data!C707)</f>
        <v>Tier 2</v>
      </c>
      <c r="D707" s="6">
        <f>DATEVALUE(TEXT(Raw_Data!D707, "YYYY-MM-DD"))</f>
        <v>46079</v>
      </c>
      <c r="E707" s="6">
        <f>IF(ISBLANK(Raw_Data!E707), "", DATEVALUE(TEXT(Raw_Data!E707, "YYYY-MM-DD")))</f>
        <v>46088</v>
      </c>
      <c r="F707" s="5">
        <f t="shared" si="1"/>
        <v>4</v>
      </c>
      <c r="G707" s="5">
        <f t="shared" si="2"/>
        <v>7</v>
      </c>
      <c r="H707" s="5" t="str">
        <f t="shared" si="3"/>
        <v>SLA BREACH</v>
      </c>
      <c r="I707" s="5">
        <f>Raw_Data!F707</f>
        <v>9706</v>
      </c>
      <c r="J707" s="5">
        <f t="shared" si="4"/>
        <v>485.3</v>
      </c>
    </row>
    <row r="708">
      <c r="A708" s="5" t="str">
        <f>Raw_Data!A708</f>
        <v>TRK100706</v>
      </c>
      <c r="B708" s="5" t="str">
        <f>TRIM(Raw_Data!B708)</f>
        <v>BlueDart</v>
      </c>
      <c r="C708" s="5" t="str">
        <f>TRIM(Raw_Data!C708)</f>
        <v>Tier 3</v>
      </c>
      <c r="D708" s="6">
        <f>DATEVALUE(TEXT(Raw_Data!D708, "YYYY-MM-DD"))</f>
        <v>46053</v>
      </c>
      <c r="E708" s="6">
        <f>IF(ISBLANK(Raw_Data!E708), "", DATEVALUE(TEXT(Raw_Data!E708, "YYYY-MM-DD")))</f>
        <v>46059</v>
      </c>
      <c r="F708" s="5">
        <f t="shared" si="1"/>
        <v>6</v>
      </c>
      <c r="G708" s="5">
        <f t="shared" si="2"/>
        <v>5</v>
      </c>
      <c r="H708" s="5" t="str">
        <f t="shared" si="3"/>
        <v>ON TIME</v>
      </c>
      <c r="I708" s="5">
        <f>Raw_Data!F708</f>
        <v>4931</v>
      </c>
      <c r="J708" s="5">
        <f t="shared" si="4"/>
        <v>0</v>
      </c>
    </row>
    <row r="709">
      <c r="A709" s="5" t="str">
        <f>Raw_Data!A709</f>
        <v>TRK100707</v>
      </c>
      <c r="B709" s="5" t="str">
        <f>TRIM(Raw_Data!B709)</f>
        <v>EcomExpress</v>
      </c>
      <c r="C709" s="5" t="str">
        <f>TRIM(Raw_Data!C709)</f>
        <v>Tier 3</v>
      </c>
      <c r="D709" s="6">
        <f>DATEVALUE(TEXT(Raw_Data!D709, "YYYY-MM-DD"))</f>
        <v>46025</v>
      </c>
      <c r="E709" s="6">
        <f>IF(ISBLANK(Raw_Data!E709), "", DATEVALUE(TEXT(Raw_Data!E709, "YYYY-MM-DD")))</f>
        <v>46032</v>
      </c>
      <c r="F709" s="5">
        <f t="shared" si="1"/>
        <v>6</v>
      </c>
      <c r="G709" s="5">
        <f t="shared" si="2"/>
        <v>5</v>
      </c>
      <c r="H709" s="5" t="str">
        <f t="shared" si="3"/>
        <v>ON TIME</v>
      </c>
      <c r="I709" s="5">
        <f>Raw_Data!F709</f>
        <v>10530</v>
      </c>
      <c r="J709" s="5">
        <f t="shared" si="4"/>
        <v>0</v>
      </c>
    </row>
    <row r="710">
      <c r="A710" s="5" t="str">
        <f>Raw_Data!A710</f>
        <v>TRK100708</v>
      </c>
      <c r="B710" s="5" t="str">
        <f>TRIM(Raw_Data!B710)</f>
        <v>BlueDart</v>
      </c>
      <c r="C710" s="5" t="str">
        <f>TRIM(Raw_Data!C710)</f>
        <v>Tier 2</v>
      </c>
      <c r="D710" s="6">
        <f>DATEVALUE(TEXT(Raw_Data!D710, "YYYY-MM-DD"))</f>
        <v>46066</v>
      </c>
      <c r="E710" s="6">
        <f>IF(ISBLANK(Raw_Data!E710), "", DATEVALUE(TEXT(Raw_Data!E710, "YYYY-MM-DD")))</f>
        <v>46070</v>
      </c>
      <c r="F710" s="5">
        <f t="shared" si="1"/>
        <v>4</v>
      </c>
      <c r="G710" s="5">
        <f t="shared" si="2"/>
        <v>3</v>
      </c>
      <c r="H710" s="5" t="str">
        <f t="shared" si="3"/>
        <v>ON TIME</v>
      </c>
      <c r="I710" s="5">
        <f>Raw_Data!F710</f>
        <v>11880</v>
      </c>
      <c r="J710" s="5">
        <f t="shared" si="4"/>
        <v>0</v>
      </c>
    </row>
    <row r="711">
      <c r="A711" s="5" t="str">
        <f>Raw_Data!A711</f>
        <v>TRK100709</v>
      </c>
      <c r="B711" s="5" t="str">
        <f>TRIM(Raw_Data!B711)</f>
        <v>BlueDart</v>
      </c>
      <c r="C711" s="5" t="str">
        <f>TRIM(Raw_Data!C711)</f>
        <v>Metro</v>
      </c>
      <c r="D711" s="6">
        <f>DATEVALUE(TEXT(Raw_Data!D711, "YYYY-MM-DD"))</f>
        <v>46080</v>
      </c>
      <c r="E711" s="6">
        <f>IF(ISBLANK(Raw_Data!E711), "", DATEVALUE(TEXT(Raw_Data!E711, "YYYY-MM-DD")))</f>
        <v>46082</v>
      </c>
      <c r="F711" s="5">
        <f t="shared" si="1"/>
        <v>2</v>
      </c>
      <c r="G711" s="5">
        <f t="shared" si="2"/>
        <v>1</v>
      </c>
      <c r="H711" s="5" t="str">
        <f t="shared" si="3"/>
        <v>ON TIME</v>
      </c>
      <c r="I711" s="5">
        <f>Raw_Data!F711</f>
        <v>5743</v>
      </c>
      <c r="J711" s="5">
        <f t="shared" si="4"/>
        <v>0</v>
      </c>
    </row>
    <row r="712">
      <c r="A712" s="5" t="str">
        <f>Raw_Data!A712</f>
        <v>TRK100710</v>
      </c>
      <c r="B712" s="5" t="str">
        <f>TRIM(Raw_Data!B712)</f>
        <v>Delhivery</v>
      </c>
      <c r="C712" s="5" t="str">
        <f>TRIM(Raw_Data!C712)</f>
        <v>Metro</v>
      </c>
      <c r="D712" s="6">
        <f>DATEVALUE(TEXT(Raw_Data!D712, "YYYY-MM-DD"))</f>
        <v>46059</v>
      </c>
      <c r="E712" s="6">
        <f>IF(ISBLANK(Raw_Data!E712), "", DATEVALUE(TEXT(Raw_Data!E712, "YYYY-MM-DD")))</f>
        <v>46062</v>
      </c>
      <c r="F712" s="5">
        <f t="shared" si="1"/>
        <v>2</v>
      </c>
      <c r="G712" s="5">
        <f t="shared" si="2"/>
        <v>2</v>
      </c>
      <c r="H712" s="5" t="str">
        <f t="shared" si="3"/>
        <v>ON TIME</v>
      </c>
      <c r="I712" s="5">
        <f>Raw_Data!F712</f>
        <v>7042</v>
      </c>
      <c r="J712" s="5">
        <f t="shared" si="4"/>
        <v>0</v>
      </c>
    </row>
    <row r="713">
      <c r="A713" s="5" t="str">
        <f>Raw_Data!A713</f>
        <v>TRK100711</v>
      </c>
      <c r="B713" s="5" t="str">
        <f>TRIM(Raw_Data!B713)</f>
        <v>Delhivery</v>
      </c>
      <c r="C713" s="5" t="str">
        <f>TRIM(Raw_Data!C713)</f>
        <v>Tier 2</v>
      </c>
      <c r="D713" s="6">
        <f>DATEVALUE(TEXT(Raw_Data!D713, "YYYY-MM-DD"))</f>
        <v>46025</v>
      </c>
      <c r="E713" s="6">
        <f>IF(ISBLANK(Raw_Data!E713), "", DATEVALUE(TEXT(Raw_Data!E713, "YYYY-MM-DD")))</f>
        <v>46029</v>
      </c>
      <c r="F713" s="5">
        <f t="shared" si="1"/>
        <v>4</v>
      </c>
      <c r="G713" s="5">
        <f t="shared" si="2"/>
        <v>3</v>
      </c>
      <c r="H713" s="5" t="str">
        <f t="shared" si="3"/>
        <v>ON TIME</v>
      </c>
      <c r="I713" s="5">
        <f>Raw_Data!F713</f>
        <v>7436</v>
      </c>
      <c r="J713" s="5">
        <f t="shared" si="4"/>
        <v>0</v>
      </c>
    </row>
    <row r="714">
      <c r="A714" s="5" t="str">
        <f>Raw_Data!A714</f>
        <v>TRK100712</v>
      </c>
      <c r="B714" s="5" t="str">
        <f>TRIM(Raw_Data!B714)</f>
        <v>BlueDart</v>
      </c>
      <c r="C714" s="5" t="str">
        <f>TRIM(Raw_Data!C714)</f>
        <v>Tier 3</v>
      </c>
      <c r="D714" s="6">
        <f>DATEVALUE(TEXT(Raw_Data!D714, "YYYY-MM-DD"))</f>
        <v>46082</v>
      </c>
      <c r="E714" s="6">
        <f>IF(ISBLANK(Raw_Data!E714), "", DATEVALUE(TEXT(Raw_Data!E714, "YYYY-MM-DD")))</f>
        <v>46088</v>
      </c>
      <c r="F714" s="5">
        <f t="shared" si="1"/>
        <v>6</v>
      </c>
      <c r="G714" s="5">
        <f t="shared" si="2"/>
        <v>5</v>
      </c>
      <c r="H714" s="5" t="str">
        <f t="shared" si="3"/>
        <v>ON TIME</v>
      </c>
      <c r="I714" s="5">
        <f>Raw_Data!F714</f>
        <v>9406</v>
      </c>
      <c r="J714" s="5">
        <f t="shared" si="4"/>
        <v>0</v>
      </c>
    </row>
    <row r="715">
      <c r="A715" s="5" t="str">
        <f>Raw_Data!A715</f>
        <v>TRK100713</v>
      </c>
      <c r="B715" s="5" t="str">
        <f>TRIM(Raw_Data!B715)</f>
        <v>BlueDart</v>
      </c>
      <c r="C715" s="5" t="str">
        <f>TRIM(Raw_Data!C715)</f>
        <v>Metro</v>
      </c>
      <c r="D715" s="6">
        <f>DATEVALUE(TEXT(Raw_Data!D715, "YYYY-MM-DD"))</f>
        <v>46024</v>
      </c>
      <c r="E715" s="6">
        <f>IF(ISBLANK(Raw_Data!E715), "", DATEVALUE(TEXT(Raw_Data!E715, "YYYY-MM-DD")))</f>
        <v>46026</v>
      </c>
      <c r="F715" s="5">
        <f t="shared" si="1"/>
        <v>2</v>
      </c>
      <c r="G715" s="5">
        <f t="shared" si="2"/>
        <v>1</v>
      </c>
      <c r="H715" s="5" t="str">
        <f t="shared" si="3"/>
        <v>ON TIME</v>
      </c>
      <c r="I715" s="5">
        <f>Raw_Data!F715</f>
        <v>4646</v>
      </c>
      <c r="J715" s="5">
        <f t="shared" si="4"/>
        <v>0</v>
      </c>
    </row>
    <row r="716">
      <c r="A716" s="5" t="str">
        <f>Raw_Data!A716</f>
        <v>TRK100714</v>
      </c>
      <c r="B716" s="5" t="str">
        <f>TRIM(Raw_Data!B716)</f>
        <v>EcomExpress</v>
      </c>
      <c r="C716" s="5" t="str">
        <f>TRIM(Raw_Data!C716)</f>
        <v>Metro</v>
      </c>
      <c r="D716" s="6">
        <f>DATEVALUE(TEXT(Raw_Data!D716, "YYYY-MM-DD"))</f>
        <v>46060</v>
      </c>
      <c r="E716" s="6">
        <f>IF(ISBLANK(Raw_Data!E716), "", DATEVALUE(TEXT(Raw_Data!E716, "YYYY-MM-DD")))</f>
        <v>46062</v>
      </c>
      <c r="F716" s="5">
        <f t="shared" si="1"/>
        <v>2</v>
      </c>
      <c r="G716" s="5">
        <f t="shared" si="2"/>
        <v>1</v>
      </c>
      <c r="H716" s="5" t="str">
        <f t="shared" si="3"/>
        <v>ON TIME</v>
      </c>
      <c r="I716" s="5">
        <f>Raw_Data!F716</f>
        <v>640</v>
      </c>
      <c r="J716" s="5">
        <f t="shared" si="4"/>
        <v>0</v>
      </c>
    </row>
    <row r="717">
      <c r="A717" s="5" t="str">
        <f>Raw_Data!A717</f>
        <v>TRK100715</v>
      </c>
      <c r="B717" s="5" t="str">
        <f>TRIM(Raw_Data!B717)</f>
        <v>EcomExpress</v>
      </c>
      <c r="C717" s="5" t="str">
        <f>TRIM(Raw_Data!C717)</f>
        <v>Metro</v>
      </c>
      <c r="D717" s="6">
        <f>DATEVALUE(TEXT(Raw_Data!D717, "YYYY-MM-DD"))</f>
        <v>46071</v>
      </c>
      <c r="E717" s="6">
        <f>IF(ISBLANK(Raw_Data!E717), "", DATEVALUE(TEXT(Raw_Data!E717, "YYYY-MM-DD")))</f>
        <v>46076</v>
      </c>
      <c r="F717" s="5">
        <f t="shared" si="1"/>
        <v>2</v>
      </c>
      <c r="G717" s="5">
        <f t="shared" si="2"/>
        <v>4</v>
      </c>
      <c r="H717" s="5" t="str">
        <f t="shared" si="3"/>
        <v>SLA BREACH</v>
      </c>
      <c r="I717" s="5">
        <f>Raw_Data!F717</f>
        <v>5382</v>
      </c>
      <c r="J717" s="5">
        <f t="shared" si="4"/>
        <v>269.1</v>
      </c>
    </row>
    <row r="718">
      <c r="A718" s="5" t="str">
        <f>Raw_Data!A718</f>
        <v>TRK100716</v>
      </c>
      <c r="B718" s="5" t="str">
        <f>TRIM(Raw_Data!B718)</f>
        <v>Delhivery</v>
      </c>
      <c r="C718" s="5" t="str">
        <f>TRIM(Raw_Data!C718)</f>
        <v>Tier 2</v>
      </c>
      <c r="D718" s="6">
        <f>DATEVALUE(TEXT(Raw_Data!D718, "YYYY-MM-DD"))</f>
        <v>46075</v>
      </c>
      <c r="E718" s="6">
        <f>IF(ISBLANK(Raw_Data!E718), "", DATEVALUE(TEXT(Raw_Data!E718, "YYYY-MM-DD")))</f>
        <v>46081</v>
      </c>
      <c r="F718" s="5">
        <f t="shared" si="1"/>
        <v>4</v>
      </c>
      <c r="G718" s="5">
        <f t="shared" si="2"/>
        <v>5</v>
      </c>
      <c r="H718" s="5" t="str">
        <f t="shared" si="3"/>
        <v>SLA BREACH</v>
      </c>
      <c r="I718" s="5">
        <f>Raw_Data!F718</f>
        <v>6512</v>
      </c>
      <c r="J718" s="5">
        <f t="shared" si="4"/>
        <v>325.6</v>
      </c>
    </row>
    <row r="719">
      <c r="A719" s="5" t="str">
        <f>Raw_Data!A719</f>
        <v>TRK100717</v>
      </c>
      <c r="B719" s="5" t="str">
        <f>TRIM(Raw_Data!B719)</f>
        <v>EcomExpress</v>
      </c>
      <c r="C719" s="5" t="str">
        <f>TRIM(Raw_Data!C719)</f>
        <v>Metro</v>
      </c>
      <c r="D719" s="6">
        <f>DATEVALUE(TEXT(Raw_Data!D719, "YYYY-MM-DD"))</f>
        <v>46082</v>
      </c>
      <c r="E719" s="6">
        <f>IF(ISBLANK(Raw_Data!E719), "", DATEVALUE(TEXT(Raw_Data!E719, "YYYY-MM-DD")))</f>
        <v>46087</v>
      </c>
      <c r="F719" s="5">
        <f t="shared" si="1"/>
        <v>2</v>
      </c>
      <c r="G719" s="5">
        <f t="shared" si="2"/>
        <v>5</v>
      </c>
      <c r="H719" s="5" t="str">
        <f t="shared" si="3"/>
        <v>SLA BREACH</v>
      </c>
      <c r="I719" s="5">
        <f>Raw_Data!F719</f>
        <v>1463</v>
      </c>
      <c r="J719" s="5">
        <f t="shared" si="4"/>
        <v>73.15</v>
      </c>
    </row>
    <row r="720">
      <c r="A720" s="5" t="str">
        <f>Raw_Data!A720</f>
        <v>TRK100718</v>
      </c>
      <c r="B720" s="5" t="str">
        <f>TRIM(Raw_Data!B720)</f>
        <v>BlueDart</v>
      </c>
      <c r="C720" s="5" t="str">
        <f>TRIM(Raw_Data!C720)</f>
        <v>Metro</v>
      </c>
      <c r="D720" s="6">
        <f>DATEVALUE(TEXT(Raw_Data!D720, "YYYY-MM-DD"))</f>
        <v>46042</v>
      </c>
      <c r="E720" s="6">
        <f>IF(ISBLANK(Raw_Data!E720), "", DATEVALUE(TEXT(Raw_Data!E720, "YYYY-MM-DD")))</f>
        <v>46044</v>
      </c>
      <c r="F720" s="5">
        <f t="shared" si="1"/>
        <v>2</v>
      </c>
      <c r="G720" s="5">
        <f t="shared" si="2"/>
        <v>3</v>
      </c>
      <c r="H720" s="5" t="str">
        <f t="shared" si="3"/>
        <v>SLA BREACH</v>
      </c>
      <c r="I720" s="5">
        <f>Raw_Data!F720</f>
        <v>7651</v>
      </c>
      <c r="J720" s="5">
        <f t="shared" si="4"/>
        <v>382.55</v>
      </c>
    </row>
    <row r="721">
      <c r="A721" s="5" t="str">
        <f>Raw_Data!A721</f>
        <v>TRK100719</v>
      </c>
      <c r="B721" s="5" t="str">
        <f>TRIM(Raw_Data!B721)</f>
        <v>BlueDart</v>
      </c>
      <c r="C721" s="5" t="str">
        <f>TRIM(Raw_Data!C721)</f>
        <v>Tier 2</v>
      </c>
      <c r="D721" s="6">
        <f>DATEVALUE(TEXT(Raw_Data!D721, "YYYY-MM-DD"))</f>
        <v>46059</v>
      </c>
      <c r="E721" s="6">
        <f>IF(ISBLANK(Raw_Data!E721), "", DATEVALUE(TEXT(Raw_Data!E721, "YYYY-MM-DD")))</f>
        <v>46064</v>
      </c>
      <c r="F721" s="5">
        <f t="shared" si="1"/>
        <v>4</v>
      </c>
      <c r="G721" s="5">
        <f t="shared" si="2"/>
        <v>4</v>
      </c>
      <c r="H721" s="5" t="str">
        <f t="shared" si="3"/>
        <v>ON TIME</v>
      </c>
      <c r="I721" s="5">
        <f>Raw_Data!F721</f>
        <v>9064</v>
      </c>
      <c r="J721" s="5">
        <f t="shared" si="4"/>
        <v>0</v>
      </c>
    </row>
    <row r="722">
      <c r="A722" s="5" t="str">
        <f>Raw_Data!A722</f>
        <v>TRK100720</v>
      </c>
      <c r="B722" s="5" t="str">
        <f>TRIM(Raw_Data!B722)</f>
        <v>Delhivery</v>
      </c>
      <c r="C722" s="5" t="str">
        <f>TRIM(Raw_Data!C722)</f>
        <v>Tier 2</v>
      </c>
      <c r="D722" s="6">
        <f>DATEVALUE(TEXT(Raw_Data!D722, "YYYY-MM-DD"))</f>
        <v>46059</v>
      </c>
      <c r="E722" s="6">
        <f>IF(ISBLANK(Raw_Data!E722), "", DATEVALUE(TEXT(Raw_Data!E722, "YYYY-MM-DD")))</f>
        <v>46066</v>
      </c>
      <c r="F722" s="5">
        <f t="shared" si="1"/>
        <v>4</v>
      </c>
      <c r="G722" s="5">
        <f t="shared" si="2"/>
        <v>6</v>
      </c>
      <c r="H722" s="5" t="str">
        <f t="shared" si="3"/>
        <v>SLA BREACH</v>
      </c>
      <c r="I722" s="5">
        <f>Raw_Data!F722</f>
        <v>11233</v>
      </c>
      <c r="J722" s="5">
        <f t="shared" si="4"/>
        <v>561.65</v>
      </c>
    </row>
    <row r="723">
      <c r="A723" s="5" t="str">
        <f>Raw_Data!A723</f>
        <v>TRK100721</v>
      </c>
      <c r="B723" s="5" t="str">
        <f>TRIM(Raw_Data!B723)</f>
        <v>BlueDart</v>
      </c>
      <c r="C723" s="5" t="str">
        <f>TRIM(Raw_Data!C723)</f>
        <v>Tier 2</v>
      </c>
      <c r="D723" s="6">
        <f>DATEVALUE(TEXT(Raw_Data!D723, "YYYY-MM-DD"))</f>
        <v>46066</v>
      </c>
      <c r="E723" s="6">
        <f>IF(ISBLANK(Raw_Data!E723), "", DATEVALUE(TEXT(Raw_Data!E723, "YYYY-MM-DD")))</f>
        <v>46070</v>
      </c>
      <c r="F723" s="5">
        <f t="shared" si="1"/>
        <v>4</v>
      </c>
      <c r="G723" s="5">
        <f t="shared" si="2"/>
        <v>3</v>
      </c>
      <c r="H723" s="5" t="str">
        <f t="shared" si="3"/>
        <v>ON TIME</v>
      </c>
      <c r="I723" s="5">
        <f>Raw_Data!F723</f>
        <v>4110</v>
      </c>
      <c r="J723" s="5">
        <f t="shared" si="4"/>
        <v>0</v>
      </c>
    </row>
    <row r="724">
      <c r="A724" s="5" t="str">
        <f>Raw_Data!A724</f>
        <v>TRK100722</v>
      </c>
      <c r="B724" s="5" t="str">
        <f>TRIM(Raw_Data!B724)</f>
        <v>BlueDart</v>
      </c>
      <c r="C724" s="5" t="str">
        <f>TRIM(Raw_Data!C724)</f>
        <v>Metro</v>
      </c>
      <c r="D724" s="6">
        <f>DATEVALUE(TEXT(Raw_Data!D724, "YYYY-MM-DD"))</f>
        <v>46044</v>
      </c>
      <c r="E724" s="6">
        <f>IF(ISBLANK(Raw_Data!E724), "", DATEVALUE(TEXT(Raw_Data!E724, "YYYY-MM-DD")))</f>
        <v>46046</v>
      </c>
      <c r="F724" s="5">
        <f t="shared" si="1"/>
        <v>2</v>
      </c>
      <c r="G724" s="5">
        <f t="shared" si="2"/>
        <v>2</v>
      </c>
      <c r="H724" s="5" t="str">
        <f t="shared" si="3"/>
        <v>ON TIME</v>
      </c>
      <c r="I724" s="5">
        <f>Raw_Data!F724</f>
        <v>10384</v>
      </c>
      <c r="J724" s="5">
        <f t="shared" si="4"/>
        <v>0</v>
      </c>
    </row>
    <row r="725">
      <c r="A725" s="5" t="str">
        <f>Raw_Data!A725</f>
        <v>TRK100723</v>
      </c>
      <c r="B725" s="5" t="str">
        <f>TRIM(Raw_Data!B725)</f>
        <v>BlueDart</v>
      </c>
      <c r="C725" s="5" t="str">
        <f>TRIM(Raw_Data!C725)</f>
        <v>Metro</v>
      </c>
      <c r="D725" s="6">
        <f>DATEVALUE(TEXT(Raw_Data!D725, "YYYY-MM-DD"))</f>
        <v>46071</v>
      </c>
      <c r="E725" s="6">
        <f>IF(ISBLANK(Raw_Data!E725), "", DATEVALUE(TEXT(Raw_Data!E725, "YYYY-MM-DD")))</f>
        <v>46074</v>
      </c>
      <c r="F725" s="5">
        <f t="shared" si="1"/>
        <v>2</v>
      </c>
      <c r="G725" s="5">
        <f t="shared" si="2"/>
        <v>3</v>
      </c>
      <c r="H725" s="5" t="str">
        <f t="shared" si="3"/>
        <v>SLA BREACH</v>
      </c>
      <c r="I725" s="5">
        <f>Raw_Data!F725</f>
        <v>7394</v>
      </c>
      <c r="J725" s="5">
        <f t="shared" si="4"/>
        <v>369.7</v>
      </c>
    </row>
    <row r="726">
      <c r="A726" s="5" t="str">
        <f>Raw_Data!A726</f>
        <v>TRK100724</v>
      </c>
      <c r="B726" s="5" t="str">
        <f>TRIM(Raw_Data!B726)</f>
        <v>BlueDart</v>
      </c>
      <c r="C726" s="5" t="str">
        <f>TRIM(Raw_Data!C726)</f>
        <v>Tier 2</v>
      </c>
      <c r="D726" s="6">
        <f>DATEVALUE(TEXT(Raw_Data!D726, "YYYY-MM-DD"))</f>
        <v>46031</v>
      </c>
      <c r="E726" s="6">
        <f>IF(ISBLANK(Raw_Data!E726), "", DATEVALUE(TEXT(Raw_Data!E726, "YYYY-MM-DD")))</f>
        <v>46035</v>
      </c>
      <c r="F726" s="5">
        <f t="shared" si="1"/>
        <v>4</v>
      </c>
      <c r="G726" s="5">
        <f t="shared" si="2"/>
        <v>3</v>
      </c>
      <c r="H726" s="5" t="str">
        <f t="shared" si="3"/>
        <v>ON TIME</v>
      </c>
      <c r="I726" s="5">
        <f>Raw_Data!F726</f>
        <v>7811</v>
      </c>
      <c r="J726" s="5">
        <f t="shared" si="4"/>
        <v>0</v>
      </c>
    </row>
    <row r="727">
      <c r="A727" s="5" t="str">
        <f>Raw_Data!A727</f>
        <v>TRK100725</v>
      </c>
      <c r="B727" s="5" t="str">
        <f>TRIM(Raw_Data!B727)</f>
        <v>EcomExpress</v>
      </c>
      <c r="C727" s="5" t="str">
        <f>TRIM(Raw_Data!C727)</f>
        <v>Tier 3</v>
      </c>
      <c r="D727" s="6">
        <f>DATEVALUE(TEXT(Raw_Data!D727, "YYYY-MM-DD"))</f>
        <v>46067</v>
      </c>
      <c r="E727" s="6">
        <f>IF(ISBLANK(Raw_Data!E727), "", DATEVALUE(TEXT(Raw_Data!E727, "YYYY-MM-DD")))</f>
        <v>46075</v>
      </c>
      <c r="F727" s="5">
        <f t="shared" si="1"/>
        <v>6</v>
      </c>
      <c r="G727" s="5">
        <f t="shared" si="2"/>
        <v>5</v>
      </c>
      <c r="H727" s="5" t="str">
        <f t="shared" si="3"/>
        <v>ON TIME</v>
      </c>
      <c r="I727" s="5">
        <f>Raw_Data!F727</f>
        <v>605</v>
      </c>
      <c r="J727" s="5">
        <f t="shared" si="4"/>
        <v>0</v>
      </c>
    </row>
    <row r="728">
      <c r="A728" s="5" t="str">
        <f>Raw_Data!A728</f>
        <v>TRK100726</v>
      </c>
      <c r="B728" s="5" t="str">
        <f>TRIM(Raw_Data!B728)</f>
        <v>EcomExpress</v>
      </c>
      <c r="C728" s="5" t="str">
        <f>TRIM(Raw_Data!C728)</f>
        <v>Tier 2</v>
      </c>
      <c r="D728" s="6">
        <f>DATEVALUE(TEXT(Raw_Data!D728, "YYYY-MM-DD"))</f>
        <v>46028</v>
      </c>
      <c r="E728" s="6">
        <f>IF(ISBLANK(Raw_Data!E728), "", DATEVALUE(TEXT(Raw_Data!E728, "YYYY-MM-DD")))</f>
        <v>46032</v>
      </c>
      <c r="F728" s="5">
        <f t="shared" si="1"/>
        <v>4</v>
      </c>
      <c r="G728" s="5">
        <f t="shared" si="2"/>
        <v>4</v>
      </c>
      <c r="H728" s="5" t="str">
        <f t="shared" si="3"/>
        <v>ON TIME</v>
      </c>
      <c r="I728" s="5">
        <f>Raw_Data!F728</f>
        <v>6039</v>
      </c>
      <c r="J728" s="5">
        <f t="shared" si="4"/>
        <v>0</v>
      </c>
    </row>
    <row r="729">
      <c r="A729" s="5" t="str">
        <f>Raw_Data!A729</f>
        <v>TRK100727</v>
      </c>
      <c r="B729" s="5" t="str">
        <f>TRIM(Raw_Data!B729)</f>
        <v>EcomExpress</v>
      </c>
      <c r="C729" s="5" t="str">
        <f>TRIM(Raw_Data!C729)</f>
        <v>Metro</v>
      </c>
      <c r="D729" s="6">
        <f>DATEVALUE(TEXT(Raw_Data!D729, "YYYY-MM-DD"))</f>
        <v>46070</v>
      </c>
      <c r="E729" s="6">
        <f>IF(ISBLANK(Raw_Data!E729), "", DATEVALUE(TEXT(Raw_Data!E729, "YYYY-MM-DD")))</f>
        <v>46073</v>
      </c>
      <c r="F729" s="5">
        <f t="shared" si="1"/>
        <v>2</v>
      </c>
      <c r="G729" s="5">
        <f t="shared" si="2"/>
        <v>4</v>
      </c>
      <c r="H729" s="5" t="str">
        <f t="shared" si="3"/>
        <v>SLA BREACH</v>
      </c>
      <c r="I729" s="5">
        <f>Raw_Data!F729</f>
        <v>10373</v>
      </c>
      <c r="J729" s="5">
        <f t="shared" si="4"/>
        <v>518.65</v>
      </c>
    </row>
    <row r="730">
      <c r="A730" s="5" t="str">
        <f>Raw_Data!A730</f>
        <v>TRK100728</v>
      </c>
      <c r="B730" s="5" t="str">
        <f>TRIM(Raw_Data!B730)</f>
        <v>EcomExpress</v>
      </c>
      <c r="C730" s="5" t="str">
        <f>TRIM(Raw_Data!C730)</f>
        <v>Metro</v>
      </c>
      <c r="D730" s="6">
        <f>DATEVALUE(TEXT(Raw_Data!D730, "YYYY-MM-DD"))</f>
        <v>46026</v>
      </c>
      <c r="E730" s="6">
        <f>IF(ISBLANK(Raw_Data!E730), "", DATEVALUE(TEXT(Raw_Data!E730, "YYYY-MM-DD")))</f>
        <v>46028</v>
      </c>
      <c r="F730" s="5">
        <f t="shared" si="1"/>
        <v>2</v>
      </c>
      <c r="G730" s="5">
        <f t="shared" si="2"/>
        <v>2</v>
      </c>
      <c r="H730" s="5" t="str">
        <f t="shared" si="3"/>
        <v>ON TIME</v>
      </c>
      <c r="I730" s="5">
        <f>Raw_Data!F730</f>
        <v>11328</v>
      </c>
      <c r="J730" s="5">
        <f t="shared" si="4"/>
        <v>0</v>
      </c>
    </row>
    <row r="731">
      <c r="A731" s="5" t="str">
        <f>Raw_Data!A731</f>
        <v>TRK100729</v>
      </c>
      <c r="B731" s="5" t="str">
        <f>TRIM(Raw_Data!B731)</f>
        <v>EcomExpress</v>
      </c>
      <c r="C731" s="5" t="str">
        <f>TRIM(Raw_Data!C731)</f>
        <v>Tier 2</v>
      </c>
      <c r="D731" s="6">
        <f>DATEVALUE(TEXT(Raw_Data!D731, "YYYY-MM-DD"))</f>
        <v>46050</v>
      </c>
      <c r="E731" s="6">
        <f>IF(ISBLANK(Raw_Data!E731), "", DATEVALUE(TEXT(Raw_Data!E731, "YYYY-MM-DD")))</f>
        <v>46054</v>
      </c>
      <c r="F731" s="5">
        <f t="shared" si="1"/>
        <v>4</v>
      </c>
      <c r="G731" s="5">
        <f t="shared" si="2"/>
        <v>3</v>
      </c>
      <c r="H731" s="5" t="str">
        <f t="shared" si="3"/>
        <v>ON TIME</v>
      </c>
      <c r="I731" s="5">
        <f>Raw_Data!F731</f>
        <v>7287</v>
      </c>
      <c r="J731" s="5">
        <f t="shared" si="4"/>
        <v>0</v>
      </c>
    </row>
    <row r="732">
      <c r="A732" s="5" t="str">
        <f>Raw_Data!A732</f>
        <v>TRK100730</v>
      </c>
      <c r="B732" s="5" t="str">
        <f>TRIM(Raw_Data!B732)</f>
        <v>Delhivery</v>
      </c>
      <c r="C732" s="5" t="str">
        <f>TRIM(Raw_Data!C732)</f>
        <v>Tier 3</v>
      </c>
      <c r="D732" s="6">
        <f>DATEVALUE(TEXT(Raw_Data!D732, "YYYY-MM-DD"))</f>
        <v>46076</v>
      </c>
      <c r="E732" s="6">
        <f>IF(ISBLANK(Raw_Data!E732), "", DATEVALUE(TEXT(Raw_Data!E732, "YYYY-MM-DD")))</f>
        <v>46082</v>
      </c>
      <c r="F732" s="5">
        <f t="shared" si="1"/>
        <v>6</v>
      </c>
      <c r="G732" s="5">
        <f t="shared" si="2"/>
        <v>5</v>
      </c>
      <c r="H732" s="5" t="str">
        <f t="shared" si="3"/>
        <v>ON TIME</v>
      </c>
      <c r="I732" s="5">
        <f>Raw_Data!F732</f>
        <v>2637</v>
      </c>
      <c r="J732" s="5">
        <f t="shared" si="4"/>
        <v>0</v>
      </c>
    </row>
    <row r="733">
      <c r="A733" s="5" t="str">
        <f>Raw_Data!A733</f>
        <v>TRK100731</v>
      </c>
      <c r="B733" s="5" t="str">
        <f>TRIM(Raw_Data!B733)</f>
        <v>BlueDart</v>
      </c>
      <c r="C733" s="5" t="str">
        <f>TRIM(Raw_Data!C733)</f>
        <v>Tier 3</v>
      </c>
      <c r="D733" s="6">
        <f>DATEVALUE(TEXT(Raw_Data!D733, "YYYY-MM-DD"))</f>
        <v>46044</v>
      </c>
      <c r="E733" s="6">
        <f>IF(ISBLANK(Raw_Data!E733), "", DATEVALUE(TEXT(Raw_Data!E733, "YYYY-MM-DD")))</f>
        <v>46051</v>
      </c>
      <c r="F733" s="5">
        <f t="shared" si="1"/>
        <v>6</v>
      </c>
      <c r="G733" s="5">
        <f t="shared" si="2"/>
        <v>6</v>
      </c>
      <c r="H733" s="5" t="str">
        <f t="shared" si="3"/>
        <v>ON TIME</v>
      </c>
      <c r="I733" s="5">
        <f>Raw_Data!F733</f>
        <v>4945</v>
      </c>
      <c r="J733" s="5">
        <f t="shared" si="4"/>
        <v>0</v>
      </c>
    </row>
    <row r="734">
      <c r="A734" s="5" t="str">
        <f>Raw_Data!A734</f>
        <v>TRK100732</v>
      </c>
      <c r="B734" s="5" t="str">
        <f>TRIM(Raw_Data!B734)</f>
        <v>Delhivery</v>
      </c>
      <c r="C734" s="5" t="str">
        <f>TRIM(Raw_Data!C734)</f>
        <v>Metro</v>
      </c>
      <c r="D734" s="6">
        <f>DATEVALUE(TEXT(Raw_Data!D734, "YYYY-MM-DD"))</f>
        <v>46072</v>
      </c>
      <c r="E734" s="6">
        <f>IF(ISBLANK(Raw_Data!E734), "", DATEVALUE(TEXT(Raw_Data!E734, "YYYY-MM-DD")))</f>
        <v>46074</v>
      </c>
      <c r="F734" s="5">
        <f t="shared" si="1"/>
        <v>2</v>
      </c>
      <c r="G734" s="5">
        <f t="shared" si="2"/>
        <v>2</v>
      </c>
      <c r="H734" s="5" t="str">
        <f t="shared" si="3"/>
        <v>ON TIME</v>
      </c>
      <c r="I734" s="5">
        <f>Raw_Data!F734</f>
        <v>4030</v>
      </c>
      <c r="J734" s="5">
        <f t="shared" si="4"/>
        <v>0</v>
      </c>
    </row>
    <row r="735">
      <c r="A735" s="5" t="str">
        <f>Raw_Data!A735</f>
        <v>TRK100733</v>
      </c>
      <c r="B735" s="5" t="str">
        <f>TRIM(Raw_Data!B735)</f>
        <v>BlueDart</v>
      </c>
      <c r="C735" s="5" t="str">
        <f>TRIM(Raw_Data!C735)</f>
        <v>Tier 3</v>
      </c>
      <c r="D735" s="6">
        <f>DATEVALUE(TEXT(Raw_Data!D735, "YYYY-MM-DD"))</f>
        <v>46061</v>
      </c>
      <c r="E735" s="6">
        <f>IF(ISBLANK(Raw_Data!E735), "", DATEVALUE(TEXT(Raw_Data!E735, "YYYY-MM-DD")))</f>
        <v>46067</v>
      </c>
      <c r="F735" s="5">
        <f t="shared" si="1"/>
        <v>6</v>
      </c>
      <c r="G735" s="5">
        <f t="shared" si="2"/>
        <v>5</v>
      </c>
      <c r="H735" s="5" t="str">
        <f t="shared" si="3"/>
        <v>ON TIME</v>
      </c>
      <c r="I735" s="5">
        <f>Raw_Data!F735</f>
        <v>1786</v>
      </c>
      <c r="J735" s="5">
        <f t="shared" si="4"/>
        <v>0</v>
      </c>
    </row>
    <row r="736">
      <c r="A736" s="5" t="str">
        <f>Raw_Data!A736</f>
        <v>TRK100734</v>
      </c>
      <c r="B736" s="5" t="str">
        <f>TRIM(Raw_Data!B736)</f>
        <v>BlueDart</v>
      </c>
      <c r="C736" s="5" t="str">
        <f>TRIM(Raw_Data!C736)</f>
        <v>Tier 3</v>
      </c>
      <c r="D736" s="6">
        <f>DATEVALUE(TEXT(Raw_Data!D736, "YYYY-MM-DD"))</f>
        <v>46072</v>
      </c>
      <c r="E736" s="6">
        <f>IF(ISBLANK(Raw_Data!E736), "", DATEVALUE(TEXT(Raw_Data!E736, "YYYY-MM-DD")))</f>
        <v>46078</v>
      </c>
      <c r="F736" s="5">
        <f t="shared" si="1"/>
        <v>6</v>
      </c>
      <c r="G736" s="5">
        <f t="shared" si="2"/>
        <v>5</v>
      </c>
      <c r="H736" s="5" t="str">
        <f t="shared" si="3"/>
        <v>ON TIME</v>
      </c>
      <c r="I736" s="5">
        <f>Raw_Data!F736</f>
        <v>11871</v>
      </c>
      <c r="J736" s="5">
        <f t="shared" si="4"/>
        <v>0</v>
      </c>
    </row>
    <row r="737">
      <c r="A737" s="5" t="str">
        <f>Raw_Data!A737</f>
        <v>TRK100735</v>
      </c>
      <c r="B737" s="5" t="str">
        <f>TRIM(Raw_Data!B737)</f>
        <v>BlueDart</v>
      </c>
      <c r="C737" s="5" t="str">
        <f>TRIM(Raw_Data!C737)</f>
        <v>Tier 3</v>
      </c>
      <c r="D737" s="6">
        <f>DATEVALUE(TEXT(Raw_Data!D737, "YYYY-MM-DD"))</f>
        <v>46024</v>
      </c>
      <c r="E737" s="6">
        <f>IF(ISBLANK(Raw_Data!E737), "", DATEVALUE(TEXT(Raw_Data!E737, "YYYY-MM-DD")))</f>
        <v>46032</v>
      </c>
      <c r="F737" s="5">
        <f t="shared" si="1"/>
        <v>6</v>
      </c>
      <c r="G737" s="5">
        <f t="shared" si="2"/>
        <v>6</v>
      </c>
      <c r="H737" s="5" t="str">
        <f t="shared" si="3"/>
        <v>ON TIME</v>
      </c>
      <c r="I737" s="5">
        <f>Raw_Data!F737</f>
        <v>7552</v>
      </c>
      <c r="J737" s="5">
        <f t="shared" si="4"/>
        <v>0</v>
      </c>
    </row>
    <row r="738">
      <c r="A738" s="5" t="str">
        <f>Raw_Data!A738</f>
        <v>TRK100736</v>
      </c>
      <c r="B738" s="5" t="str">
        <f>TRIM(Raw_Data!B738)</f>
        <v>Delhivery</v>
      </c>
      <c r="C738" s="5" t="str">
        <f>TRIM(Raw_Data!C738)</f>
        <v>Tier 2</v>
      </c>
      <c r="D738" s="6">
        <f>DATEVALUE(TEXT(Raw_Data!D738, "YYYY-MM-DD"))</f>
        <v>46040</v>
      </c>
      <c r="E738" s="6">
        <f>IF(ISBLANK(Raw_Data!E738), "", DATEVALUE(TEXT(Raw_Data!E738, "YYYY-MM-DD")))</f>
        <v>46044</v>
      </c>
      <c r="F738" s="5">
        <f t="shared" si="1"/>
        <v>4</v>
      </c>
      <c r="G738" s="5">
        <f t="shared" si="2"/>
        <v>4</v>
      </c>
      <c r="H738" s="5" t="str">
        <f t="shared" si="3"/>
        <v>ON TIME</v>
      </c>
      <c r="I738" s="5">
        <f>Raw_Data!F738</f>
        <v>4154</v>
      </c>
      <c r="J738" s="5">
        <f t="shared" si="4"/>
        <v>0</v>
      </c>
    </row>
    <row r="739">
      <c r="A739" s="5" t="str">
        <f>Raw_Data!A739</f>
        <v>TRK100737</v>
      </c>
      <c r="B739" s="5" t="str">
        <f>TRIM(Raw_Data!B739)</f>
        <v>BlueDart</v>
      </c>
      <c r="C739" s="5" t="str">
        <f>TRIM(Raw_Data!C739)</f>
        <v>Metro</v>
      </c>
      <c r="D739" s="6">
        <f>DATEVALUE(TEXT(Raw_Data!D739, "YYYY-MM-DD"))</f>
        <v>46051</v>
      </c>
      <c r="E739" s="6">
        <f>IF(ISBLANK(Raw_Data!E739), "", DATEVALUE(TEXT(Raw_Data!E739, "YYYY-MM-DD")))</f>
        <v>46054</v>
      </c>
      <c r="F739" s="5">
        <f t="shared" si="1"/>
        <v>2</v>
      </c>
      <c r="G739" s="5">
        <f t="shared" si="2"/>
        <v>2</v>
      </c>
      <c r="H739" s="5" t="str">
        <f t="shared" si="3"/>
        <v>ON TIME</v>
      </c>
      <c r="I739" s="5">
        <f>Raw_Data!F739</f>
        <v>7602</v>
      </c>
      <c r="J739" s="5">
        <f t="shared" si="4"/>
        <v>0</v>
      </c>
    </row>
    <row r="740">
      <c r="A740" s="5" t="str">
        <f>Raw_Data!A740</f>
        <v>TRK100738</v>
      </c>
      <c r="B740" s="5" t="str">
        <f>TRIM(Raw_Data!B740)</f>
        <v>BlueDart</v>
      </c>
      <c r="C740" s="5" t="str">
        <f>TRIM(Raw_Data!C740)</f>
        <v>Tier 2</v>
      </c>
      <c r="D740" s="6">
        <f>DATEVALUE(TEXT(Raw_Data!D740, "YYYY-MM-DD"))</f>
        <v>46037</v>
      </c>
      <c r="E740" s="6" t="str">
        <f>IF(ISBLANK(Raw_Data!E740), "", DATEVALUE(TEXT(Raw_Data!E740, "YYYY-MM-DD")))</f>
        <v/>
      </c>
      <c r="F740" s="5">
        <f t="shared" si="1"/>
        <v>4</v>
      </c>
      <c r="G740" s="5" t="str">
        <f t="shared" si="2"/>
        <v>In-Transit</v>
      </c>
      <c r="H740" s="5" t="str">
        <f t="shared" si="3"/>
        <v>Pending</v>
      </c>
      <c r="I740" s="5">
        <f>Raw_Data!F740</f>
        <v>2859</v>
      </c>
      <c r="J740" s="5">
        <f t="shared" si="4"/>
        <v>0</v>
      </c>
    </row>
    <row r="741">
      <c r="A741" s="5" t="str">
        <f>Raw_Data!A741</f>
        <v>TRK100739</v>
      </c>
      <c r="B741" s="5" t="str">
        <f>TRIM(Raw_Data!B741)</f>
        <v>EcomExpress</v>
      </c>
      <c r="C741" s="5" t="str">
        <f>TRIM(Raw_Data!C741)</f>
        <v>Tier 3</v>
      </c>
      <c r="D741" s="6">
        <f>DATEVALUE(TEXT(Raw_Data!D741, "YYYY-MM-DD"))</f>
        <v>46058</v>
      </c>
      <c r="E741" s="6">
        <f>IF(ISBLANK(Raw_Data!E741), "", DATEVALUE(TEXT(Raw_Data!E741, "YYYY-MM-DD")))</f>
        <v>46064</v>
      </c>
      <c r="F741" s="5">
        <f t="shared" si="1"/>
        <v>6</v>
      </c>
      <c r="G741" s="5">
        <f t="shared" si="2"/>
        <v>5</v>
      </c>
      <c r="H741" s="5" t="str">
        <f t="shared" si="3"/>
        <v>ON TIME</v>
      </c>
      <c r="I741" s="5">
        <f>Raw_Data!F741</f>
        <v>8605</v>
      </c>
      <c r="J741" s="5">
        <f t="shared" si="4"/>
        <v>0</v>
      </c>
    </row>
    <row r="742">
      <c r="A742" s="5" t="str">
        <f>Raw_Data!A742</f>
        <v>TRK100740</v>
      </c>
      <c r="B742" s="5" t="str">
        <f>TRIM(Raw_Data!B742)</f>
        <v>EcomExpress</v>
      </c>
      <c r="C742" s="5" t="str">
        <f>TRIM(Raw_Data!C742)</f>
        <v>Metro</v>
      </c>
      <c r="D742" s="6">
        <f>DATEVALUE(TEXT(Raw_Data!D742, "YYYY-MM-DD"))</f>
        <v>46050</v>
      </c>
      <c r="E742" s="6">
        <f>IF(ISBLANK(Raw_Data!E742), "", DATEVALUE(TEXT(Raw_Data!E742, "YYYY-MM-DD")))</f>
        <v>46052</v>
      </c>
      <c r="F742" s="5">
        <f t="shared" si="1"/>
        <v>2</v>
      </c>
      <c r="G742" s="5">
        <f t="shared" si="2"/>
        <v>3</v>
      </c>
      <c r="H742" s="5" t="str">
        <f t="shared" si="3"/>
        <v>SLA BREACH</v>
      </c>
      <c r="I742" s="5">
        <f>Raw_Data!F742</f>
        <v>9136</v>
      </c>
      <c r="J742" s="5">
        <f t="shared" si="4"/>
        <v>456.8</v>
      </c>
    </row>
    <row r="743">
      <c r="A743" s="5" t="str">
        <f>Raw_Data!A743</f>
        <v>TRK100741</v>
      </c>
      <c r="B743" s="5" t="str">
        <f>TRIM(Raw_Data!B743)</f>
        <v>BlueDart</v>
      </c>
      <c r="C743" s="5" t="str">
        <f>TRIM(Raw_Data!C743)</f>
        <v>Tier 2</v>
      </c>
      <c r="D743" s="6">
        <f>DATEVALUE(TEXT(Raw_Data!D743, "YYYY-MM-DD"))</f>
        <v>46066</v>
      </c>
      <c r="E743" s="6">
        <f>IF(ISBLANK(Raw_Data!E743), "", DATEVALUE(TEXT(Raw_Data!E743, "YYYY-MM-DD")))</f>
        <v>46070</v>
      </c>
      <c r="F743" s="5">
        <f t="shared" si="1"/>
        <v>4</v>
      </c>
      <c r="G743" s="5">
        <f t="shared" si="2"/>
        <v>3</v>
      </c>
      <c r="H743" s="5" t="str">
        <f t="shared" si="3"/>
        <v>ON TIME</v>
      </c>
      <c r="I743" s="5">
        <f>Raw_Data!F743</f>
        <v>6941</v>
      </c>
      <c r="J743" s="5">
        <f t="shared" si="4"/>
        <v>0</v>
      </c>
    </row>
    <row r="744">
      <c r="A744" s="5" t="str">
        <f>Raw_Data!A744</f>
        <v>TRK100742</v>
      </c>
      <c r="B744" s="5" t="str">
        <f>TRIM(Raw_Data!B744)</f>
        <v>EcomExpress</v>
      </c>
      <c r="C744" s="5" t="str">
        <f>TRIM(Raw_Data!C744)</f>
        <v>Metro</v>
      </c>
      <c r="D744" s="6">
        <f>DATEVALUE(TEXT(Raw_Data!D744, "YYYY-MM-DD"))</f>
        <v>46065</v>
      </c>
      <c r="E744" s="6">
        <f>IF(ISBLANK(Raw_Data!E744), "", DATEVALUE(TEXT(Raw_Data!E744, "YYYY-MM-DD")))</f>
        <v>46068</v>
      </c>
      <c r="F744" s="5">
        <f t="shared" si="1"/>
        <v>2</v>
      </c>
      <c r="G744" s="5">
        <f t="shared" si="2"/>
        <v>2</v>
      </c>
      <c r="H744" s="5" t="str">
        <f t="shared" si="3"/>
        <v>ON TIME</v>
      </c>
      <c r="I744" s="5">
        <f>Raw_Data!F744</f>
        <v>5547</v>
      </c>
      <c r="J744" s="5">
        <f t="shared" si="4"/>
        <v>0</v>
      </c>
    </row>
    <row r="745">
      <c r="A745" s="5" t="str">
        <f>Raw_Data!A745</f>
        <v>TRK100743</v>
      </c>
      <c r="B745" s="5" t="str">
        <f>TRIM(Raw_Data!B745)</f>
        <v>Delhivery</v>
      </c>
      <c r="C745" s="5" t="str">
        <f>TRIM(Raw_Data!C745)</f>
        <v>Tier 2</v>
      </c>
      <c r="D745" s="6">
        <f>DATEVALUE(TEXT(Raw_Data!D745, "YYYY-MM-DD"))</f>
        <v>46028</v>
      </c>
      <c r="E745" s="6">
        <f>IF(ISBLANK(Raw_Data!E745), "", DATEVALUE(TEXT(Raw_Data!E745, "YYYY-MM-DD")))</f>
        <v>46032</v>
      </c>
      <c r="F745" s="5">
        <f t="shared" si="1"/>
        <v>4</v>
      </c>
      <c r="G745" s="5">
        <f t="shared" si="2"/>
        <v>4</v>
      </c>
      <c r="H745" s="5" t="str">
        <f t="shared" si="3"/>
        <v>ON TIME</v>
      </c>
      <c r="I745" s="5">
        <f>Raw_Data!F745</f>
        <v>8727</v>
      </c>
      <c r="J745" s="5">
        <f t="shared" si="4"/>
        <v>0</v>
      </c>
    </row>
    <row r="746">
      <c r="A746" s="5" t="str">
        <f>Raw_Data!A746</f>
        <v>TRK100744</v>
      </c>
      <c r="B746" s="5" t="str">
        <f>TRIM(Raw_Data!B746)</f>
        <v>BlueDart</v>
      </c>
      <c r="C746" s="5" t="str">
        <f>TRIM(Raw_Data!C746)</f>
        <v>Metro</v>
      </c>
      <c r="D746" s="6">
        <f>DATEVALUE(TEXT(Raw_Data!D746, "YYYY-MM-DD"))</f>
        <v>46062</v>
      </c>
      <c r="E746" s="6">
        <f>IF(ISBLANK(Raw_Data!E746), "", DATEVALUE(TEXT(Raw_Data!E746, "YYYY-MM-DD")))</f>
        <v>46064</v>
      </c>
      <c r="F746" s="5">
        <f t="shared" si="1"/>
        <v>2</v>
      </c>
      <c r="G746" s="5">
        <f t="shared" si="2"/>
        <v>3</v>
      </c>
      <c r="H746" s="5" t="str">
        <f t="shared" si="3"/>
        <v>SLA BREACH</v>
      </c>
      <c r="I746" s="5">
        <f>Raw_Data!F746</f>
        <v>5703</v>
      </c>
      <c r="J746" s="5">
        <f t="shared" si="4"/>
        <v>285.15</v>
      </c>
    </row>
    <row r="747">
      <c r="A747" s="5" t="str">
        <f>Raw_Data!A747</f>
        <v>TRK100745</v>
      </c>
      <c r="B747" s="5" t="str">
        <f>TRIM(Raw_Data!B747)</f>
        <v>Delhivery</v>
      </c>
      <c r="C747" s="5" t="str">
        <f>TRIM(Raw_Data!C747)</f>
        <v>Tier 2</v>
      </c>
      <c r="D747" s="6">
        <f>DATEVALUE(TEXT(Raw_Data!D747, "YYYY-MM-DD"))</f>
        <v>46074</v>
      </c>
      <c r="E747" s="6">
        <f>IF(ISBLANK(Raw_Data!E747), "", DATEVALUE(TEXT(Raw_Data!E747, "YYYY-MM-DD")))</f>
        <v>46080</v>
      </c>
      <c r="F747" s="5">
        <f t="shared" si="1"/>
        <v>4</v>
      </c>
      <c r="G747" s="5">
        <f t="shared" si="2"/>
        <v>5</v>
      </c>
      <c r="H747" s="5" t="str">
        <f t="shared" si="3"/>
        <v>SLA BREACH</v>
      </c>
      <c r="I747" s="5">
        <f>Raw_Data!F747</f>
        <v>10167</v>
      </c>
      <c r="J747" s="5">
        <f t="shared" si="4"/>
        <v>508.35</v>
      </c>
    </row>
    <row r="748">
      <c r="A748" s="5" t="str">
        <f>Raw_Data!A748</f>
        <v>TRK100746</v>
      </c>
      <c r="B748" s="5" t="str">
        <f>TRIM(Raw_Data!B748)</f>
        <v>EcomExpress</v>
      </c>
      <c r="C748" s="5" t="str">
        <f>TRIM(Raw_Data!C748)</f>
        <v>Tier 3</v>
      </c>
      <c r="D748" s="6">
        <f>DATEVALUE(TEXT(Raw_Data!D748, "YYYY-MM-DD"))</f>
        <v>46068</v>
      </c>
      <c r="E748" s="6">
        <f>IF(ISBLANK(Raw_Data!E748), "", DATEVALUE(TEXT(Raw_Data!E748, "YYYY-MM-DD")))</f>
        <v>46074</v>
      </c>
      <c r="F748" s="5">
        <f t="shared" si="1"/>
        <v>6</v>
      </c>
      <c r="G748" s="5">
        <f t="shared" si="2"/>
        <v>5</v>
      </c>
      <c r="H748" s="5" t="str">
        <f t="shared" si="3"/>
        <v>ON TIME</v>
      </c>
      <c r="I748" s="5">
        <f>Raw_Data!F748</f>
        <v>2298</v>
      </c>
      <c r="J748" s="5">
        <f t="shared" si="4"/>
        <v>0</v>
      </c>
    </row>
    <row r="749">
      <c r="A749" s="5" t="str">
        <f>Raw_Data!A749</f>
        <v>TRK100747</v>
      </c>
      <c r="B749" s="5" t="str">
        <f>TRIM(Raw_Data!B749)</f>
        <v>EcomExpress</v>
      </c>
      <c r="C749" s="5" t="str">
        <f>TRIM(Raw_Data!C749)</f>
        <v>Tier 2</v>
      </c>
      <c r="D749" s="6">
        <f>DATEVALUE(TEXT(Raw_Data!D749, "YYYY-MM-DD"))</f>
        <v>46028</v>
      </c>
      <c r="E749" s="6">
        <f>IF(ISBLANK(Raw_Data!E749), "", DATEVALUE(TEXT(Raw_Data!E749, "YYYY-MM-DD")))</f>
        <v>46032</v>
      </c>
      <c r="F749" s="5">
        <f t="shared" si="1"/>
        <v>4</v>
      </c>
      <c r="G749" s="5">
        <f t="shared" si="2"/>
        <v>4</v>
      </c>
      <c r="H749" s="5" t="str">
        <f t="shared" si="3"/>
        <v>ON TIME</v>
      </c>
      <c r="I749" s="5">
        <f>Raw_Data!F749</f>
        <v>10537</v>
      </c>
      <c r="J749" s="5">
        <f t="shared" si="4"/>
        <v>0</v>
      </c>
    </row>
    <row r="750">
      <c r="A750" s="5" t="str">
        <f>Raw_Data!A750</f>
        <v>TRK100748</v>
      </c>
      <c r="B750" s="5" t="str">
        <f>TRIM(Raw_Data!B750)</f>
        <v>Delhivery</v>
      </c>
      <c r="C750" s="5" t="str">
        <f>TRIM(Raw_Data!C750)</f>
        <v>Tier 3</v>
      </c>
      <c r="D750" s="6">
        <f>DATEVALUE(TEXT(Raw_Data!D750, "YYYY-MM-DD"))</f>
        <v>46032</v>
      </c>
      <c r="E750" s="6">
        <f>IF(ISBLANK(Raw_Data!E750), "", DATEVALUE(TEXT(Raw_Data!E750, "YYYY-MM-DD")))</f>
        <v>46040</v>
      </c>
      <c r="F750" s="5">
        <f t="shared" si="1"/>
        <v>6</v>
      </c>
      <c r="G750" s="5">
        <f t="shared" si="2"/>
        <v>5</v>
      </c>
      <c r="H750" s="5" t="str">
        <f t="shared" si="3"/>
        <v>ON TIME</v>
      </c>
      <c r="I750" s="5">
        <f>Raw_Data!F750</f>
        <v>10100</v>
      </c>
      <c r="J750" s="5">
        <f t="shared" si="4"/>
        <v>0</v>
      </c>
    </row>
    <row r="751">
      <c r="A751" s="5" t="str">
        <f>Raw_Data!A751</f>
        <v>TRK100749</v>
      </c>
      <c r="B751" s="5" t="str">
        <f>TRIM(Raw_Data!B751)</f>
        <v>BlueDart</v>
      </c>
      <c r="C751" s="5" t="str">
        <f>TRIM(Raw_Data!C751)</f>
        <v>Tier 2</v>
      </c>
      <c r="D751" s="6">
        <f>DATEVALUE(TEXT(Raw_Data!D751, "YYYY-MM-DD"))</f>
        <v>46068</v>
      </c>
      <c r="E751" s="6">
        <f>IF(ISBLANK(Raw_Data!E751), "", DATEVALUE(TEXT(Raw_Data!E751, "YYYY-MM-DD")))</f>
        <v>46072</v>
      </c>
      <c r="F751" s="5">
        <f t="shared" si="1"/>
        <v>4</v>
      </c>
      <c r="G751" s="5">
        <f t="shared" si="2"/>
        <v>4</v>
      </c>
      <c r="H751" s="5" t="str">
        <f t="shared" si="3"/>
        <v>ON TIME</v>
      </c>
      <c r="I751" s="5">
        <f>Raw_Data!F751</f>
        <v>5791</v>
      </c>
      <c r="J751" s="5">
        <f t="shared" si="4"/>
        <v>0</v>
      </c>
    </row>
    <row r="752">
      <c r="A752" s="5" t="str">
        <f>Raw_Data!A752</f>
        <v>TRK100750</v>
      </c>
      <c r="B752" s="5" t="str">
        <f>TRIM(Raw_Data!B752)</f>
        <v>EcomExpress</v>
      </c>
      <c r="C752" s="5" t="str">
        <f>TRIM(Raw_Data!C752)</f>
        <v>Tier 3</v>
      </c>
      <c r="D752" s="6">
        <f>DATEVALUE(TEXT(Raw_Data!D752, "YYYY-MM-DD"))</f>
        <v>46063</v>
      </c>
      <c r="E752" s="6">
        <f>IF(ISBLANK(Raw_Data!E752), "", DATEVALUE(TEXT(Raw_Data!E752, "YYYY-MM-DD")))</f>
        <v>46069</v>
      </c>
      <c r="F752" s="5">
        <f t="shared" si="1"/>
        <v>6</v>
      </c>
      <c r="G752" s="5">
        <f t="shared" si="2"/>
        <v>5</v>
      </c>
      <c r="H752" s="5" t="str">
        <f t="shared" si="3"/>
        <v>ON TIME</v>
      </c>
      <c r="I752" s="5">
        <f>Raw_Data!F752</f>
        <v>5995</v>
      </c>
      <c r="J752" s="5">
        <f t="shared" si="4"/>
        <v>0</v>
      </c>
    </row>
    <row r="753">
      <c r="A753" s="5" t="str">
        <f>Raw_Data!A753</f>
        <v>TRK100751</v>
      </c>
      <c r="B753" s="5" t="str">
        <f>TRIM(Raw_Data!B753)</f>
        <v>EcomExpress</v>
      </c>
      <c r="C753" s="5" t="str">
        <f>TRIM(Raw_Data!C753)</f>
        <v>Tier 3</v>
      </c>
      <c r="D753" s="6">
        <f>DATEVALUE(TEXT(Raw_Data!D753, "YYYY-MM-DD"))</f>
        <v>46070</v>
      </c>
      <c r="E753" s="6" t="str">
        <f>IF(ISBLANK(Raw_Data!E753), "", DATEVALUE(TEXT(Raw_Data!E753, "YYYY-MM-DD")))</f>
        <v/>
      </c>
      <c r="F753" s="5">
        <f t="shared" si="1"/>
        <v>6</v>
      </c>
      <c r="G753" s="5" t="str">
        <f t="shared" si="2"/>
        <v>In-Transit</v>
      </c>
      <c r="H753" s="5" t="str">
        <f t="shared" si="3"/>
        <v>Pending</v>
      </c>
      <c r="I753" s="5">
        <f>Raw_Data!F753</f>
        <v>10400</v>
      </c>
      <c r="J753" s="5">
        <f t="shared" si="4"/>
        <v>0</v>
      </c>
    </row>
    <row r="754">
      <c r="A754" s="5" t="str">
        <f>Raw_Data!A754</f>
        <v>TRK100752</v>
      </c>
      <c r="B754" s="5" t="str">
        <f>TRIM(Raw_Data!B754)</f>
        <v>EcomExpress</v>
      </c>
      <c r="C754" s="5" t="str">
        <f>TRIM(Raw_Data!C754)</f>
        <v>Tier 2</v>
      </c>
      <c r="D754" s="6">
        <f>DATEVALUE(TEXT(Raw_Data!D754, "YYYY-MM-DD"))</f>
        <v>46043</v>
      </c>
      <c r="E754" s="6">
        <f>IF(ISBLANK(Raw_Data!E754), "", DATEVALUE(TEXT(Raw_Data!E754, "YYYY-MM-DD")))</f>
        <v>46047</v>
      </c>
      <c r="F754" s="5">
        <f t="shared" si="1"/>
        <v>4</v>
      </c>
      <c r="G754" s="5">
        <f t="shared" si="2"/>
        <v>3</v>
      </c>
      <c r="H754" s="5" t="str">
        <f t="shared" si="3"/>
        <v>ON TIME</v>
      </c>
      <c r="I754" s="5">
        <f>Raw_Data!F754</f>
        <v>11630</v>
      </c>
      <c r="J754" s="5">
        <f t="shared" si="4"/>
        <v>0</v>
      </c>
    </row>
    <row r="755">
      <c r="A755" s="5" t="str">
        <f>Raw_Data!A755</f>
        <v>TRK100753</v>
      </c>
      <c r="B755" s="5" t="str">
        <f>TRIM(Raw_Data!B755)</f>
        <v>Delhivery</v>
      </c>
      <c r="C755" s="5" t="str">
        <f>TRIM(Raw_Data!C755)</f>
        <v>Tier 2</v>
      </c>
      <c r="D755" s="6">
        <f>DATEVALUE(TEXT(Raw_Data!D755, "YYYY-MM-DD"))</f>
        <v>46029</v>
      </c>
      <c r="E755" s="6">
        <f>IF(ISBLANK(Raw_Data!E755), "", DATEVALUE(TEXT(Raw_Data!E755, "YYYY-MM-DD")))</f>
        <v>46033</v>
      </c>
      <c r="F755" s="5">
        <f t="shared" si="1"/>
        <v>4</v>
      </c>
      <c r="G755" s="5">
        <f t="shared" si="2"/>
        <v>3</v>
      </c>
      <c r="H755" s="5" t="str">
        <f t="shared" si="3"/>
        <v>ON TIME</v>
      </c>
      <c r="I755" s="5">
        <f>Raw_Data!F755</f>
        <v>6784</v>
      </c>
      <c r="J755" s="5">
        <f t="shared" si="4"/>
        <v>0</v>
      </c>
    </row>
    <row r="756">
      <c r="A756" s="5" t="str">
        <f>Raw_Data!A756</f>
        <v>TRK100754</v>
      </c>
      <c r="B756" s="5" t="str">
        <f>TRIM(Raw_Data!B756)</f>
        <v>Delhivery</v>
      </c>
      <c r="C756" s="5" t="str">
        <f>TRIM(Raw_Data!C756)</f>
        <v>Metro</v>
      </c>
      <c r="D756" s="6">
        <f>DATEVALUE(TEXT(Raw_Data!D756, "YYYY-MM-DD"))</f>
        <v>46023</v>
      </c>
      <c r="E756" s="6">
        <f>IF(ISBLANK(Raw_Data!E756), "", DATEVALUE(TEXT(Raw_Data!E756, "YYYY-MM-DD")))</f>
        <v>46025</v>
      </c>
      <c r="F756" s="5">
        <f t="shared" si="1"/>
        <v>2</v>
      </c>
      <c r="G756" s="5">
        <f t="shared" si="2"/>
        <v>2</v>
      </c>
      <c r="H756" s="5" t="str">
        <f t="shared" si="3"/>
        <v>ON TIME</v>
      </c>
      <c r="I756" s="5">
        <f>Raw_Data!F756</f>
        <v>7785</v>
      </c>
      <c r="J756" s="5">
        <f t="shared" si="4"/>
        <v>0</v>
      </c>
    </row>
    <row r="757">
      <c r="A757" s="5" t="str">
        <f>Raw_Data!A757</f>
        <v>TRK100755</v>
      </c>
      <c r="B757" s="5" t="str">
        <f>TRIM(Raw_Data!B757)</f>
        <v>EcomExpress</v>
      </c>
      <c r="C757" s="5" t="str">
        <f>TRIM(Raw_Data!C757)</f>
        <v>Tier 2</v>
      </c>
      <c r="D757" s="6">
        <f>DATEVALUE(TEXT(Raw_Data!D757, "YYYY-MM-DD"))</f>
        <v>46051</v>
      </c>
      <c r="E757" s="6">
        <f>IF(ISBLANK(Raw_Data!E757), "", DATEVALUE(TEXT(Raw_Data!E757, "YYYY-MM-DD")))</f>
        <v>46056</v>
      </c>
      <c r="F757" s="5">
        <f t="shared" si="1"/>
        <v>4</v>
      </c>
      <c r="G757" s="5">
        <f t="shared" si="2"/>
        <v>4</v>
      </c>
      <c r="H757" s="5" t="str">
        <f t="shared" si="3"/>
        <v>ON TIME</v>
      </c>
      <c r="I757" s="5">
        <f>Raw_Data!F757</f>
        <v>1800</v>
      </c>
      <c r="J757" s="5">
        <f t="shared" si="4"/>
        <v>0</v>
      </c>
    </row>
    <row r="758">
      <c r="A758" s="5" t="str">
        <f>Raw_Data!A758</f>
        <v>TRK100756</v>
      </c>
      <c r="B758" s="5" t="str">
        <f>TRIM(Raw_Data!B758)</f>
        <v>BlueDart</v>
      </c>
      <c r="C758" s="5" t="str">
        <f>TRIM(Raw_Data!C758)</f>
        <v>Metro</v>
      </c>
      <c r="D758" s="6">
        <f>DATEVALUE(TEXT(Raw_Data!D758, "YYYY-MM-DD"))</f>
        <v>46071</v>
      </c>
      <c r="E758" s="6">
        <f>IF(ISBLANK(Raw_Data!E758), "", DATEVALUE(TEXT(Raw_Data!E758, "YYYY-MM-DD")))</f>
        <v>46073</v>
      </c>
      <c r="F758" s="5">
        <f t="shared" si="1"/>
        <v>2</v>
      </c>
      <c r="G758" s="5">
        <f t="shared" si="2"/>
        <v>3</v>
      </c>
      <c r="H758" s="5" t="str">
        <f t="shared" si="3"/>
        <v>SLA BREACH</v>
      </c>
      <c r="I758" s="5">
        <f>Raw_Data!F758</f>
        <v>7369</v>
      </c>
      <c r="J758" s="5">
        <f t="shared" si="4"/>
        <v>368.45</v>
      </c>
    </row>
    <row r="759">
      <c r="A759" s="5" t="str">
        <f>Raw_Data!A759</f>
        <v>TRK100757</v>
      </c>
      <c r="B759" s="5" t="str">
        <f>TRIM(Raw_Data!B759)</f>
        <v>Delhivery</v>
      </c>
      <c r="C759" s="5" t="str">
        <f>TRIM(Raw_Data!C759)</f>
        <v>Tier 2</v>
      </c>
      <c r="D759" s="6">
        <f>DATEVALUE(TEXT(Raw_Data!D759, "YYYY-MM-DD"))</f>
        <v>46029</v>
      </c>
      <c r="E759" s="6">
        <f>IF(ISBLANK(Raw_Data!E759), "", DATEVALUE(TEXT(Raw_Data!E759, "YYYY-MM-DD")))</f>
        <v>46033</v>
      </c>
      <c r="F759" s="5">
        <f t="shared" si="1"/>
        <v>4</v>
      </c>
      <c r="G759" s="5">
        <f t="shared" si="2"/>
        <v>3</v>
      </c>
      <c r="H759" s="5" t="str">
        <f t="shared" si="3"/>
        <v>ON TIME</v>
      </c>
      <c r="I759" s="5">
        <f>Raw_Data!F759</f>
        <v>9935</v>
      </c>
      <c r="J759" s="5">
        <f t="shared" si="4"/>
        <v>0</v>
      </c>
    </row>
    <row r="760">
      <c r="A760" s="5" t="str">
        <f>Raw_Data!A760</f>
        <v>TRK100758</v>
      </c>
      <c r="B760" s="5" t="str">
        <f>TRIM(Raw_Data!B760)</f>
        <v>BlueDart</v>
      </c>
      <c r="C760" s="5" t="str">
        <f>TRIM(Raw_Data!C760)</f>
        <v>Metro</v>
      </c>
      <c r="D760" s="6">
        <f>DATEVALUE(TEXT(Raw_Data!D760, "YYYY-MM-DD"))</f>
        <v>46028</v>
      </c>
      <c r="E760" s="6">
        <f>IF(ISBLANK(Raw_Data!E760), "", DATEVALUE(TEXT(Raw_Data!E760, "YYYY-MM-DD")))</f>
        <v>46032</v>
      </c>
      <c r="F760" s="5">
        <f t="shared" si="1"/>
        <v>2</v>
      </c>
      <c r="G760" s="5">
        <f t="shared" si="2"/>
        <v>4</v>
      </c>
      <c r="H760" s="5" t="str">
        <f t="shared" si="3"/>
        <v>SLA BREACH</v>
      </c>
      <c r="I760" s="5">
        <f>Raw_Data!F760</f>
        <v>3597</v>
      </c>
      <c r="J760" s="5">
        <f t="shared" si="4"/>
        <v>179.85</v>
      </c>
    </row>
    <row r="761">
      <c r="A761" s="5" t="str">
        <f>Raw_Data!A761</f>
        <v>TRK100759</v>
      </c>
      <c r="B761" s="5" t="str">
        <f>TRIM(Raw_Data!B761)</f>
        <v>Delhivery</v>
      </c>
      <c r="C761" s="5" t="str">
        <f>TRIM(Raw_Data!C761)</f>
        <v>Tier 3</v>
      </c>
      <c r="D761" s="6">
        <f>DATEVALUE(TEXT(Raw_Data!D761, "YYYY-MM-DD"))</f>
        <v>46050</v>
      </c>
      <c r="E761" s="6">
        <f>IF(ISBLANK(Raw_Data!E761), "", DATEVALUE(TEXT(Raw_Data!E761, "YYYY-MM-DD")))</f>
        <v>46057</v>
      </c>
      <c r="F761" s="5">
        <f t="shared" si="1"/>
        <v>6</v>
      </c>
      <c r="G761" s="5">
        <f t="shared" si="2"/>
        <v>6</v>
      </c>
      <c r="H761" s="5" t="str">
        <f t="shared" si="3"/>
        <v>ON TIME</v>
      </c>
      <c r="I761" s="5">
        <f>Raw_Data!F761</f>
        <v>5116</v>
      </c>
      <c r="J761" s="5">
        <f t="shared" si="4"/>
        <v>0</v>
      </c>
    </row>
    <row r="762">
      <c r="A762" s="5" t="str">
        <f>Raw_Data!A762</f>
        <v>TRK100760</v>
      </c>
      <c r="B762" s="5" t="str">
        <f>TRIM(Raw_Data!B762)</f>
        <v>Delhivery</v>
      </c>
      <c r="C762" s="5" t="str">
        <f>TRIM(Raw_Data!C762)</f>
        <v>Tier 2</v>
      </c>
      <c r="D762" s="6">
        <f>DATEVALUE(TEXT(Raw_Data!D762, "YYYY-MM-DD"))</f>
        <v>46058</v>
      </c>
      <c r="E762" s="6">
        <f>IF(ISBLANK(Raw_Data!E762), "", DATEVALUE(TEXT(Raw_Data!E762, "YYYY-MM-DD")))</f>
        <v>46062</v>
      </c>
      <c r="F762" s="5">
        <f t="shared" si="1"/>
        <v>4</v>
      </c>
      <c r="G762" s="5">
        <f t="shared" si="2"/>
        <v>3</v>
      </c>
      <c r="H762" s="5" t="str">
        <f t="shared" si="3"/>
        <v>ON TIME</v>
      </c>
      <c r="I762" s="5">
        <f>Raw_Data!F762</f>
        <v>509</v>
      </c>
      <c r="J762" s="5">
        <f t="shared" si="4"/>
        <v>0</v>
      </c>
    </row>
    <row r="763">
      <c r="A763" s="5" t="str">
        <f>Raw_Data!A763</f>
        <v>TRK100761</v>
      </c>
      <c r="B763" s="5" t="str">
        <f>TRIM(Raw_Data!B763)</f>
        <v>BlueDart</v>
      </c>
      <c r="C763" s="5" t="str">
        <f>TRIM(Raw_Data!C763)</f>
        <v>Tier 3</v>
      </c>
      <c r="D763" s="6">
        <f>DATEVALUE(TEXT(Raw_Data!D763, "YYYY-MM-DD"))</f>
        <v>46055</v>
      </c>
      <c r="E763" s="6">
        <f>IF(ISBLANK(Raw_Data!E763), "", DATEVALUE(TEXT(Raw_Data!E763, "YYYY-MM-DD")))</f>
        <v>46061</v>
      </c>
      <c r="F763" s="5">
        <f t="shared" si="1"/>
        <v>6</v>
      </c>
      <c r="G763" s="5">
        <f t="shared" si="2"/>
        <v>5</v>
      </c>
      <c r="H763" s="5" t="str">
        <f t="shared" si="3"/>
        <v>ON TIME</v>
      </c>
      <c r="I763" s="5">
        <f>Raw_Data!F763</f>
        <v>11117</v>
      </c>
      <c r="J763" s="5">
        <f t="shared" si="4"/>
        <v>0</v>
      </c>
    </row>
    <row r="764">
      <c r="A764" s="5" t="str">
        <f>Raw_Data!A764</f>
        <v>TRK100762</v>
      </c>
      <c r="B764" s="5" t="str">
        <f>TRIM(Raw_Data!B764)</f>
        <v>BlueDart</v>
      </c>
      <c r="C764" s="5" t="str">
        <f>TRIM(Raw_Data!C764)</f>
        <v>Tier 2</v>
      </c>
      <c r="D764" s="6">
        <f>DATEVALUE(TEXT(Raw_Data!D764, "YYYY-MM-DD"))</f>
        <v>46029</v>
      </c>
      <c r="E764" s="6">
        <f>IF(ISBLANK(Raw_Data!E764), "", DATEVALUE(TEXT(Raw_Data!E764, "YYYY-MM-DD")))</f>
        <v>46033</v>
      </c>
      <c r="F764" s="5">
        <f t="shared" si="1"/>
        <v>4</v>
      </c>
      <c r="G764" s="5">
        <f t="shared" si="2"/>
        <v>3</v>
      </c>
      <c r="H764" s="5" t="str">
        <f t="shared" si="3"/>
        <v>ON TIME</v>
      </c>
      <c r="I764" s="5">
        <f>Raw_Data!F764</f>
        <v>6252</v>
      </c>
      <c r="J764" s="5">
        <f t="shared" si="4"/>
        <v>0</v>
      </c>
    </row>
    <row r="765">
      <c r="A765" s="5" t="str">
        <f>Raw_Data!A765</f>
        <v>TRK100763</v>
      </c>
      <c r="B765" s="5" t="str">
        <f>TRIM(Raw_Data!B765)</f>
        <v>BlueDart</v>
      </c>
      <c r="C765" s="5" t="str">
        <f>TRIM(Raw_Data!C765)</f>
        <v>Metro</v>
      </c>
      <c r="D765" s="6">
        <f>DATEVALUE(TEXT(Raw_Data!D765, "YYYY-MM-DD"))</f>
        <v>46028</v>
      </c>
      <c r="E765" s="6">
        <f>IF(ISBLANK(Raw_Data!E765), "", DATEVALUE(TEXT(Raw_Data!E765, "YYYY-MM-DD")))</f>
        <v>46031</v>
      </c>
      <c r="F765" s="5">
        <f t="shared" si="1"/>
        <v>2</v>
      </c>
      <c r="G765" s="5">
        <f t="shared" si="2"/>
        <v>4</v>
      </c>
      <c r="H765" s="5" t="str">
        <f t="shared" si="3"/>
        <v>SLA BREACH</v>
      </c>
      <c r="I765" s="5">
        <f>Raw_Data!F765</f>
        <v>10352</v>
      </c>
      <c r="J765" s="5">
        <f t="shared" si="4"/>
        <v>517.6</v>
      </c>
    </row>
    <row r="766">
      <c r="A766" s="5" t="str">
        <f>Raw_Data!A766</f>
        <v>TRK100764</v>
      </c>
      <c r="B766" s="5" t="str">
        <f>TRIM(Raw_Data!B766)</f>
        <v>Delhivery</v>
      </c>
      <c r="C766" s="5" t="str">
        <f>TRIM(Raw_Data!C766)</f>
        <v>Tier 2</v>
      </c>
      <c r="D766" s="6">
        <f>DATEVALUE(TEXT(Raw_Data!D766, "YYYY-MM-DD"))</f>
        <v>46058</v>
      </c>
      <c r="E766" s="6">
        <f>IF(ISBLANK(Raw_Data!E766), "", DATEVALUE(TEXT(Raw_Data!E766, "YYYY-MM-DD")))</f>
        <v>46062</v>
      </c>
      <c r="F766" s="5">
        <f t="shared" si="1"/>
        <v>4</v>
      </c>
      <c r="G766" s="5">
        <f t="shared" si="2"/>
        <v>3</v>
      </c>
      <c r="H766" s="5" t="str">
        <f t="shared" si="3"/>
        <v>ON TIME</v>
      </c>
      <c r="I766" s="5">
        <f>Raw_Data!F766</f>
        <v>11323</v>
      </c>
      <c r="J766" s="5">
        <f t="shared" si="4"/>
        <v>0</v>
      </c>
    </row>
    <row r="767">
      <c r="A767" s="5" t="str">
        <f>Raw_Data!A767</f>
        <v>TRK100765</v>
      </c>
      <c r="B767" s="5" t="str">
        <f>TRIM(Raw_Data!B767)</f>
        <v>BlueDart</v>
      </c>
      <c r="C767" s="5" t="str">
        <f>TRIM(Raw_Data!C767)</f>
        <v>Metro</v>
      </c>
      <c r="D767" s="6">
        <f>DATEVALUE(TEXT(Raw_Data!D767, "YYYY-MM-DD"))</f>
        <v>46061</v>
      </c>
      <c r="E767" s="6">
        <f>IF(ISBLANK(Raw_Data!E767), "", DATEVALUE(TEXT(Raw_Data!E767, "YYYY-MM-DD")))</f>
        <v>46063</v>
      </c>
      <c r="F767" s="5">
        <f t="shared" si="1"/>
        <v>2</v>
      </c>
      <c r="G767" s="5">
        <f t="shared" si="2"/>
        <v>2</v>
      </c>
      <c r="H767" s="5" t="str">
        <f t="shared" si="3"/>
        <v>ON TIME</v>
      </c>
      <c r="I767" s="5">
        <f>Raw_Data!F767</f>
        <v>6795</v>
      </c>
      <c r="J767" s="5">
        <f t="shared" si="4"/>
        <v>0</v>
      </c>
    </row>
    <row r="768">
      <c r="A768" s="5" t="str">
        <f>Raw_Data!A768</f>
        <v>TRK100766</v>
      </c>
      <c r="B768" s="5" t="str">
        <f>TRIM(Raw_Data!B768)</f>
        <v>BlueDart</v>
      </c>
      <c r="C768" s="5" t="str">
        <f>TRIM(Raw_Data!C768)</f>
        <v>Metro</v>
      </c>
      <c r="D768" s="6">
        <f>DATEVALUE(TEXT(Raw_Data!D768, "YYYY-MM-DD"))</f>
        <v>46073</v>
      </c>
      <c r="E768" s="6">
        <f>IF(ISBLANK(Raw_Data!E768), "", DATEVALUE(TEXT(Raw_Data!E768, "YYYY-MM-DD")))</f>
        <v>46076</v>
      </c>
      <c r="F768" s="5">
        <f t="shared" si="1"/>
        <v>2</v>
      </c>
      <c r="G768" s="5">
        <f t="shared" si="2"/>
        <v>2</v>
      </c>
      <c r="H768" s="5" t="str">
        <f t="shared" si="3"/>
        <v>ON TIME</v>
      </c>
      <c r="I768" s="5">
        <f>Raw_Data!F768</f>
        <v>5315</v>
      </c>
      <c r="J768" s="5">
        <f t="shared" si="4"/>
        <v>0</v>
      </c>
    </row>
    <row r="769">
      <c r="A769" s="5" t="str">
        <f>Raw_Data!A769</f>
        <v>TRK100767</v>
      </c>
      <c r="B769" s="5" t="str">
        <f>TRIM(Raw_Data!B769)</f>
        <v>BlueDart</v>
      </c>
      <c r="C769" s="5" t="str">
        <f>TRIM(Raw_Data!C769)</f>
        <v>Tier 2</v>
      </c>
      <c r="D769" s="6">
        <f>DATEVALUE(TEXT(Raw_Data!D769, "YYYY-MM-DD"))</f>
        <v>46078</v>
      </c>
      <c r="E769" s="6">
        <f>IF(ISBLANK(Raw_Data!E769), "", DATEVALUE(TEXT(Raw_Data!E769, "YYYY-MM-DD")))</f>
        <v>46084</v>
      </c>
      <c r="F769" s="5">
        <f t="shared" si="1"/>
        <v>4</v>
      </c>
      <c r="G769" s="5">
        <f t="shared" si="2"/>
        <v>5</v>
      </c>
      <c r="H769" s="5" t="str">
        <f t="shared" si="3"/>
        <v>SLA BREACH</v>
      </c>
      <c r="I769" s="5">
        <f>Raw_Data!F769</f>
        <v>1572</v>
      </c>
      <c r="J769" s="5">
        <f t="shared" si="4"/>
        <v>78.6</v>
      </c>
    </row>
    <row r="770">
      <c r="A770" s="5" t="str">
        <f>Raw_Data!A770</f>
        <v>TRK100768</v>
      </c>
      <c r="B770" s="5" t="str">
        <f>TRIM(Raw_Data!B770)</f>
        <v>BlueDart</v>
      </c>
      <c r="C770" s="5" t="str">
        <f>TRIM(Raw_Data!C770)</f>
        <v>Tier 3</v>
      </c>
      <c r="D770" s="6">
        <f>DATEVALUE(TEXT(Raw_Data!D770, "YYYY-MM-DD"))</f>
        <v>46023</v>
      </c>
      <c r="E770" s="6">
        <f>IF(ISBLANK(Raw_Data!E770), "", DATEVALUE(TEXT(Raw_Data!E770, "YYYY-MM-DD")))</f>
        <v>46029</v>
      </c>
      <c r="F770" s="5">
        <f t="shared" si="1"/>
        <v>6</v>
      </c>
      <c r="G770" s="5">
        <f t="shared" si="2"/>
        <v>5</v>
      </c>
      <c r="H770" s="5" t="str">
        <f t="shared" si="3"/>
        <v>ON TIME</v>
      </c>
      <c r="I770" s="5">
        <f>Raw_Data!F770</f>
        <v>3725</v>
      </c>
      <c r="J770" s="5">
        <f t="shared" si="4"/>
        <v>0</v>
      </c>
    </row>
    <row r="771">
      <c r="A771" s="5" t="str">
        <f>Raw_Data!A771</f>
        <v>TRK100769</v>
      </c>
      <c r="B771" s="5" t="str">
        <f>TRIM(Raw_Data!B771)</f>
        <v>BlueDart</v>
      </c>
      <c r="C771" s="5" t="str">
        <f>TRIM(Raw_Data!C771)</f>
        <v>Tier 2</v>
      </c>
      <c r="D771" s="6">
        <f>DATEVALUE(TEXT(Raw_Data!D771, "YYYY-MM-DD"))</f>
        <v>46049</v>
      </c>
      <c r="E771" s="6">
        <f>IF(ISBLANK(Raw_Data!E771), "", DATEVALUE(TEXT(Raw_Data!E771, "YYYY-MM-DD")))</f>
        <v>46055</v>
      </c>
      <c r="F771" s="5">
        <f t="shared" si="1"/>
        <v>4</v>
      </c>
      <c r="G771" s="5">
        <f t="shared" si="2"/>
        <v>5</v>
      </c>
      <c r="H771" s="5" t="str">
        <f t="shared" si="3"/>
        <v>SLA BREACH</v>
      </c>
      <c r="I771" s="5">
        <f>Raw_Data!F771</f>
        <v>1816</v>
      </c>
      <c r="J771" s="5">
        <f t="shared" si="4"/>
        <v>90.8</v>
      </c>
    </row>
    <row r="772">
      <c r="A772" s="5" t="str">
        <f>Raw_Data!A772</f>
        <v>TRK100770</v>
      </c>
      <c r="B772" s="5" t="str">
        <f>TRIM(Raw_Data!B772)</f>
        <v>BlueDart</v>
      </c>
      <c r="C772" s="5" t="str">
        <f>TRIM(Raw_Data!C772)</f>
        <v>Tier 3</v>
      </c>
      <c r="D772" s="6">
        <f>DATEVALUE(TEXT(Raw_Data!D772, "YYYY-MM-DD"))</f>
        <v>46072</v>
      </c>
      <c r="E772" s="6">
        <f>IF(ISBLANK(Raw_Data!E772), "", DATEVALUE(TEXT(Raw_Data!E772, "YYYY-MM-DD")))</f>
        <v>46078</v>
      </c>
      <c r="F772" s="5">
        <f t="shared" si="1"/>
        <v>6</v>
      </c>
      <c r="G772" s="5">
        <f t="shared" si="2"/>
        <v>5</v>
      </c>
      <c r="H772" s="5" t="str">
        <f t="shared" si="3"/>
        <v>ON TIME</v>
      </c>
      <c r="I772" s="5">
        <f>Raw_Data!F772</f>
        <v>6199</v>
      </c>
      <c r="J772" s="5">
        <f t="shared" si="4"/>
        <v>0</v>
      </c>
    </row>
    <row r="773">
      <c r="A773" s="5" t="str">
        <f>Raw_Data!A773</f>
        <v>TRK100771</v>
      </c>
      <c r="B773" s="5" t="str">
        <f>TRIM(Raw_Data!B773)</f>
        <v>BlueDart</v>
      </c>
      <c r="C773" s="5" t="str">
        <f>TRIM(Raw_Data!C773)</f>
        <v>Metro</v>
      </c>
      <c r="D773" s="6">
        <f>DATEVALUE(TEXT(Raw_Data!D773, "YYYY-MM-DD"))</f>
        <v>46069</v>
      </c>
      <c r="E773" s="6">
        <f>IF(ISBLANK(Raw_Data!E773), "", DATEVALUE(TEXT(Raw_Data!E773, "YYYY-MM-DD")))</f>
        <v>46073</v>
      </c>
      <c r="F773" s="5">
        <f t="shared" si="1"/>
        <v>2</v>
      </c>
      <c r="G773" s="5">
        <f t="shared" si="2"/>
        <v>5</v>
      </c>
      <c r="H773" s="5" t="str">
        <f t="shared" si="3"/>
        <v>SLA BREACH</v>
      </c>
      <c r="I773" s="5">
        <f>Raw_Data!F773</f>
        <v>7307</v>
      </c>
      <c r="J773" s="5">
        <f t="shared" si="4"/>
        <v>365.35</v>
      </c>
    </row>
    <row r="774">
      <c r="A774" s="5" t="str">
        <f>Raw_Data!A774</f>
        <v>TRK100772</v>
      </c>
      <c r="B774" s="5" t="str">
        <f>TRIM(Raw_Data!B774)</f>
        <v>Delhivery</v>
      </c>
      <c r="C774" s="5" t="str">
        <f>TRIM(Raw_Data!C774)</f>
        <v>Tier 2</v>
      </c>
      <c r="D774" s="6">
        <f>DATEVALUE(TEXT(Raw_Data!D774, "YYYY-MM-DD"))</f>
        <v>46080</v>
      </c>
      <c r="E774" s="6">
        <f>IF(ISBLANK(Raw_Data!E774), "", DATEVALUE(TEXT(Raw_Data!E774, "YYYY-MM-DD")))</f>
        <v>46084</v>
      </c>
      <c r="F774" s="5">
        <f t="shared" si="1"/>
        <v>4</v>
      </c>
      <c r="G774" s="5">
        <f t="shared" si="2"/>
        <v>3</v>
      </c>
      <c r="H774" s="5" t="str">
        <f t="shared" si="3"/>
        <v>ON TIME</v>
      </c>
      <c r="I774" s="5">
        <f>Raw_Data!F774</f>
        <v>7174</v>
      </c>
      <c r="J774" s="5">
        <f t="shared" si="4"/>
        <v>0</v>
      </c>
    </row>
    <row r="775">
      <c r="A775" s="5" t="str">
        <f>Raw_Data!A775</f>
        <v>TRK100773</v>
      </c>
      <c r="B775" s="5" t="str">
        <f>TRIM(Raw_Data!B775)</f>
        <v>BlueDart</v>
      </c>
      <c r="C775" s="5" t="str">
        <f>TRIM(Raw_Data!C775)</f>
        <v>Tier 2</v>
      </c>
      <c r="D775" s="6">
        <f>DATEVALUE(TEXT(Raw_Data!D775, "YYYY-MM-DD"))</f>
        <v>46059</v>
      </c>
      <c r="E775" s="6">
        <f>IF(ISBLANK(Raw_Data!E775), "", DATEVALUE(TEXT(Raw_Data!E775, "YYYY-MM-DD")))</f>
        <v>46063</v>
      </c>
      <c r="F775" s="5">
        <f t="shared" si="1"/>
        <v>4</v>
      </c>
      <c r="G775" s="5">
        <f t="shared" si="2"/>
        <v>3</v>
      </c>
      <c r="H775" s="5" t="str">
        <f t="shared" si="3"/>
        <v>ON TIME</v>
      </c>
      <c r="I775" s="5">
        <f>Raw_Data!F775</f>
        <v>4183</v>
      </c>
      <c r="J775" s="5">
        <f t="shared" si="4"/>
        <v>0</v>
      </c>
    </row>
    <row r="776">
      <c r="A776" s="5" t="str">
        <f>Raw_Data!A776</f>
        <v>TRK100774</v>
      </c>
      <c r="B776" s="5" t="str">
        <f>TRIM(Raw_Data!B776)</f>
        <v>Delhivery</v>
      </c>
      <c r="C776" s="5" t="str">
        <f>TRIM(Raw_Data!C776)</f>
        <v>Tier 3</v>
      </c>
      <c r="D776" s="6">
        <f>DATEVALUE(TEXT(Raw_Data!D776, "YYYY-MM-DD"))</f>
        <v>46033</v>
      </c>
      <c r="E776" s="6">
        <f>IF(ISBLANK(Raw_Data!E776), "", DATEVALUE(TEXT(Raw_Data!E776, "YYYY-MM-DD")))</f>
        <v>46040</v>
      </c>
      <c r="F776" s="5">
        <f t="shared" si="1"/>
        <v>6</v>
      </c>
      <c r="G776" s="5">
        <f t="shared" si="2"/>
        <v>5</v>
      </c>
      <c r="H776" s="5" t="str">
        <f t="shared" si="3"/>
        <v>ON TIME</v>
      </c>
      <c r="I776" s="5">
        <f>Raw_Data!F776</f>
        <v>7727</v>
      </c>
      <c r="J776" s="5">
        <f t="shared" si="4"/>
        <v>0</v>
      </c>
    </row>
    <row r="777">
      <c r="A777" s="5" t="str">
        <f>Raw_Data!A777</f>
        <v>TRK100775</v>
      </c>
      <c r="B777" s="5" t="str">
        <f>TRIM(Raw_Data!B777)</f>
        <v>EcomExpress</v>
      </c>
      <c r="C777" s="5" t="str">
        <f>TRIM(Raw_Data!C777)</f>
        <v>Tier 2</v>
      </c>
      <c r="D777" s="6">
        <f>DATEVALUE(TEXT(Raw_Data!D777, "YYYY-MM-DD"))</f>
        <v>46047</v>
      </c>
      <c r="E777" s="6">
        <f>IF(ISBLANK(Raw_Data!E777), "", DATEVALUE(TEXT(Raw_Data!E777, "YYYY-MM-DD")))</f>
        <v>46051</v>
      </c>
      <c r="F777" s="5">
        <f t="shared" si="1"/>
        <v>4</v>
      </c>
      <c r="G777" s="5">
        <f t="shared" si="2"/>
        <v>4</v>
      </c>
      <c r="H777" s="5" t="str">
        <f t="shared" si="3"/>
        <v>ON TIME</v>
      </c>
      <c r="I777" s="5">
        <f>Raw_Data!F777</f>
        <v>3773</v>
      </c>
      <c r="J777" s="5">
        <f t="shared" si="4"/>
        <v>0</v>
      </c>
    </row>
    <row r="778">
      <c r="A778" s="5" t="str">
        <f>Raw_Data!A778</f>
        <v>TRK100776</v>
      </c>
      <c r="B778" s="5" t="str">
        <f>TRIM(Raw_Data!B778)</f>
        <v>EcomExpress</v>
      </c>
      <c r="C778" s="5" t="str">
        <f>TRIM(Raw_Data!C778)</f>
        <v>Metro</v>
      </c>
      <c r="D778" s="6">
        <f>DATEVALUE(TEXT(Raw_Data!D778, "YYYY-MM-DD"))</f>
        <v>46031</v>
      </c>
      <c r="E778" s="6">
        <f>IF(ISBLANK(Raw_Data!E778), "", DATEVALUE(TEXT(Raw_Data!E778, "YYYY-MM-DD")))</f>
        <v>46033</v>
      </c>
      <c r="F778" s="5">
        <f t="shared" si="1"/>
        <v>2</v>
      </c>
      <c r="G778" s="5">
        <f t="shared" si="2"/>
        <v>1</v>
      </c>
      <c r="H778" s="5" t="str">
        <f t="shared" si="3"/>
        <v>ON TIME</v>
      </c>
      <c r="I778" s="5">
        <f>Raw_Data!F778</f>
        <v>7500</v>
      </c>
      <c r="J778" s="5">
        <f t="shared" si="4"/>
        <v>0</v>
      </c>
    </row>
    <row r="779">
      <c r="A779" s="5" t="str">
        <f>Raw_Data!A779</f>
        <v>TRK100777</v>
      </c>
      <c r="B779" s="5" t="str">
        <f>TRIM(Raw_Data!B779)</f>
        <v>Delhivery</v>
      </c>
      <c r="C779" s="5" t="str">
        <f>TRIM(Raw_Data!C779)</f>
        <v>Tier 2</v>
      </c>
      <c r="D779" s="6">
        <f>DATEVALUE(TEXT(Raw_Data!D779, "YYYY-MM-DD"))</f>
        <v>46042</v>
      </c>
      <c r="E779" s="6">
        <f>IF(ISBLANK(Raw_Data!E779), "", DATEVALUE(TEXT(Raw_Data!E779, "YYYY-MM-DD")))</f>
        <v>46047</v>
      </c>
      <c r="F779" s="5">
        <f t="shared" si="1"/>
        <v>4</v>
      </c>
      <c r="G779" s="5">
        <f t="shared" si="2"/>
        <v>4</v>
      </c>
      <c r="H779" s="5" t="str">
        <f t="shared" si="3"/>
        <v>ON TIME</v>
      </c>
      <c r="I779" s="5">
        <f>Raw_Data!F779</f>
        <v>645</v>
      </c>
      <c r="J779" s="5">
        <f t="shared" si="4"/>
        <v>0</v>
      </c>
    </row>
    <row r="780">
      <c r="A780" s="5" t="str">
        <f>Raw_Data!A780</f>
        <v>TRK100778</v>
      </c>
      <c r="B780" s="5" t="str">
        <f>TRIM(Raw_Data!B780)</f>
        <v>BlueDart</v>
      </c>
      <c r="C780" s="5" t="str">
        <f>TRIM(Raw_Data!C780)</f>
        <v>Metro</v>
      </c>
      <c r="D780" s="6">
        <f>DATEVALUE(TEXT(Raw_Data!D780, "YYYY-MM-DD"))</f>
        <v>46054</v>
      </c>
      <c r="E780" s="6">
        <f>IF(ISBLANK(Raw_Data!E780), "", DATEVALUE(TEXT(Raw_Data!E780, "YYYY-MM-DD")))</f>
        <v>46057</v>
      </c>
      <c r="F780" s="5">
        <f t="shared" si="1"/>
        <v>2</v>
      </c>
      <c r="G780" s="5">
        <f t="shared" si="2"/>
        <v>3</v>
      </c>
      <c r="H780" s="5" t="str">
        <f t="shared" si="3"/>
        <v>SLA BREACH</v>
      </c>
      <c r="I780" s="5">
        <f>Raw_Data!F780</f>
        <v>5510</v>
      </c>
      <c r="J780" s="5">
        <f t="shared" si="4"/>
        <v>275.5</v>
      </c>
    </row>
    <row r="781">
      <c r="A781" s="5" t="str">
        <f>Raw_Data!A781</f>
        <v>TRK100779</v>
      </c>
      <c r="B781" s="5" t="str">
        <f>TRIM(Raw_Data!B781)</f>
        <v>Delhivery</v>
      </c>
      <c r="C781" s="5" t="str">
        <f>TRIM(Raw_Data!C781)</f>
        <v>Metro</v>
      </c>
      <c r="D781" s="6">
        <f>DATEVALUE(TEXT(Raw_Data!D781, "YYYY-MM-DD"))</f>
        <v>46027</v>
      </c>
      <c r="E781" s="6">
        <f>IF(ISBLANK(Raw_Data!E781), "", DATEVALUE(TEXT(Raw_Data!E781, "YYYY-MM-DD")))</f>
        <v>46029</v>
      </c>
      <c r="F781" s="5">
        <f t="shared" si="1"/>
        <v>2</v>
      </c>
      <c r="G781" s="5">
        <f t="shared" si="2"/>
        <v>3</v>
      </c>
      <c r="H781" s="5" t="str">
        <f t="shared" si="3"/>
        <v>SLA BREACH</v>
      </c>
      <c r="I781" s="5">
        <f>Raw_Data!F781</f>
        <v>3540</v>
      </c>
      <c r="J781" s="5">
        <f t="shared" si="4"/>
        <v>177</v>
      </c>
    </row>
    <row r="782">
      <c r="A782" s="5" t="str">
        <f>Raw_Data!A782</f>
        <v>TRK100780</v>
      </c>
      <c r="B782" s="5" t="str">
        <f>TRIM(Raw_Data!B782)</f>
        <v>EcomExpress</v>
      </c>
      <c r="C782" s="5" t="str">
        <f>TRIM(Raw_Data!C782)</f>
        <v>Tier 3</v>
      </c>
      <c r="D782" s="6">
        <f>DATEVALUE(TEXT(Raw_Data!D782, "YYYY-MM-DD"))</f>
        <v>46050</v>
      </c>
      <c r="E782" s="6">
        <f>IF(ISBLANK(Raw_Data!E782), "", DATEVALUE(TEXT(Raw_Data!E782, "YYYY-MM-DD")))</f>
        <v>46056</v>
      </c>
      <c r="F782" s="5">
        <f t="shared" si="1"/>
        <v>6</v>
      </c>
      <c r="G782" s="5">
        <f t="shared" si="2"/>
        <v>5</v>
      </c>
      <c r="H782" s="5" t="str">
        <f t="shared" si="3"/>
        <v>ON TIME</v>
      </c>
      <c r="I782" s="5">
        <f>Raw_Data!F782</f>
        <v>10154</v>
      </c>
      <c r="J782" s="5">
        <f t="shared" si="4"/>
        <v>0</v>
      </c>
    </row>
    <row r="783">
      <c r="A783" s="5" t="str">
        <f>Raw_Data!A783</f>
        <v>TRK100781</v>
      </c>
      <c r="B783" s="5" t="str">
        <f>TRIM(Raw_Data!B783)</f>
        <v>Delhivery</v>
      </c>
      <c r="C783" s="5" t="str">
        <f>TRIM(Raw_Data!C783)</f>
        <v>Tier 3</v>
      </c>
      <c r="D783" s="6">
        <f>DATEVALUE(TEXT(Raw_Data!D783, "YYYY-MM-DD"))</f>
        <v>46049</v>
      </c>
      <c r="E783" s="6">
        <f>IF(ISBLANK(Raw_Data!E783), "", DATEVALUE(TEXT(Raw_Data!E783, "YYYY-MM-DD")))</f>
        <v>46055</v>
      </c>
      <c r="F783" s="5">
        <f t="shared" si="1"/>
        <v>6</v>
      </c>
      <c r="G783" s="5">
        <f t="shared" si="2"/>
        <v>5</v>
      </c>
      <c r="H783" s="5" t="str">
        <f t="shared" si="3"/>
        <v>ON TIME</v>
      </c>
      <c r="I783" s="5">
        <f>Raw_Data!F783</f>
        <v>10276</v>
      </c>
      <c r="J783" s="5">
        <f t="shared" si="4"/>
        <v>0</v>
      </c>
    </row>
    <row r="784">
      <c r="A784" s="5" t="str">
        <f>Raw_Data!A784</f>
        <v>TRK100782</v>
      </c>
      <c r="B784" s="5" t="str">
        <f>TRIM(Raw_Data!B784)</f>
        <v>EcomExpress</v>
      </c>
      <c r="C784" s="5" t="str">
        <f>TRIM(Raw_Data!C784)</f>
        <v>Metro</v>
      </c>
      <c r="D784" s="6">
        <f>DATEVALUE(TEXT(Raw_Data!D784, "YYYY-MM-DD"))</f>
        <v>46053</v>
      </c>
      <c r="E784" s="6">
        <f>IF(ISBLANK(Raw_Data!E784), "", DATEVALUE(TEXT(Raw_Data!E784, "YYYY-MM-DD")))</f>
        <v>46055</v>
      </c>
      <c r="F784" s="5">
        <f t="shared" si="1"/>
        <v>2</v>
      </c>
      <c r="G784" s="5">
        <f t="shared" si="2"/>
        <v>1</v>
      </c>
      <c r="H784" s="5" t="str">
        <f t="shared" si="3"/>
        <v>ON TIME</v>
      </c>
      <c r="I784" s="5">
        <f>Raw_Data!F784</f>
        <v>982</v>
      </c>
      <c r="J784" s="5">
        <f t="shared" si="4"/>
        <v>0</v>
      </c>
    </row>
    <row r="785">
      <c r="A785" s="5" t="str">
        <f>Raw_Data!A785</f>
        <v>TRK100783</v>
      </c>
      <c r="B785" s="5" t="str">
        <f>TRIM(Raw_Data!B785)</f>
        <v>Delhivery</v>
      </c>
      <c r="C785" s="5" t="str">
        <f>TRIM(Raw_Data!C785)</f>
        <v>Tier 3</v>
      </c>
      <c r="D785" s="6">
        <f>DATEVALUE(TEXT(Raw_Data!D785, "YYYY-MM-DD"))</f>
        <v>46027</v>
      </c>
      <c r="E785" s="6">
        <f>IF(ISBLANK(Raw_Data!E785), "", DATEVALUE(TEXT(Raw_Data!E785, "YYYY-MM-DD")))</f>
        <v>46033</v>
      </c>
      <c r="F785" s="5">
        <f t="shared" si="1"/>
        <v>6</v>
      </c>
      <c r="G785" s="5">
        <f t="shared" si="2"/>
        <v>5</v>
      </c>
      <c r="H785" s="5" t="str">
        <f t="shared" si="3"/>
        <v>ON TIME</v>
      </c>
      <c r="I785" s="5">
        <f>Raw_Data!F785</f>
        <v>3679</v>
      </c>
      <c r="J785" s="5">
        <f t="shared" si="4"/>
        <v>0</v>
      </c>
    </row>
    <row r="786">
      <c r="A786" s="5" t="str">
        <f>Raw_Data!A786</f>
        <v>TRK100784</v>
      </c>
      <c r="B786" s="5" t="str">
        <f>TRIM(Raw_Data!B786)</f>
        <v>Delhivery</v>
      </c>
      <c r="C786" s="5" t="str">
        <f>TRIM(Raw_Data!C786)</f>
        <v>Tier 3</v>
      </c>
      <c r="D786" s="6">
        <f>DATEVALUE(TEXT(Raw_Data!D786, "YYYY-MM-DD"))</f>
        <v>46039</v>
      </c>
      <c r="E786" s="6" t="str">
        <f>IF(ISBLANK(Raw_Data!E786), "", DATEVALUE(TEXT(Raw_Data!E786, "YYYY-MM-DD")))</f>
        <v/>
      </c>
      <c r="F786" s="5">
        <f t="shared" si="1"/>
        <v>6</v>
      </c>
      <c r="G786" s="5" t="str">
        <f t="shared" si="2"/>
        <v>In-Transit</v>
      </c>
      <c r="H786" s="5" t="str">
        <f t="shared" si="3"/>
        <v>Pending</v>
      </c>
      <c r="I786" s="5">
        <f>Raw_Data!F786</f>
        <v>1749</v>
      </c>
      <c r="J786" s="5">
        <f t="shared" si="4"/>
        <v>0</v>
      </c>
    </row>
    <row r="787">
      <c r="A787" s="5" t="str">
        <f>Raw_Data!A787</f>
        <v>TRK100785</v>
      </c>
      <c r="B787" s="5" t="str">
        <f>TRIM(Raw_Data!B787)</f>
        <v>Delhivery</v>
      </c>
      <c r="C787" s="5" t="str">
        <f>TRIM(Raw_Data!C787)</f>
        <v>Metro</v>
      </c>
      <c r="D787" s="6">
        <f>DATEVALUE(TEXT(Raw_Data!D787, "YYYY-MM-DD"))</f>
        <v>46069</v>
      </c>
      <c r="E787" s="6">
        <f>IF(ISBLANK(Raw_Data!E787), "", DATEVALUE(TEXT(Raw_Data!E787, "YYYY-MM-DD")))</f>
        <v>46073</v>
      </c>
      <c r="F787" s="5">
        <f t="shared" si="1"/>
        <v>2</v>
      </c>
      <c r="G787" s="5">
        <f t="shared" si="2"/>
        <v>5</v>
      </c>
      <c r="H787" s="5" t="str">
        <f t="shared" si="3"/>
        <v>SLA BREACH</v>
      </c>
      <c r="I787" s="5">
        <f>Raw_Data!F787</f>
        <v>1130</v>
      </c>
      <c r="J787" s="5">
        <f t="shared" si="4"/>
        <v>56.5</v>
      </c>
    </row>
    <row r="788">
      <c r="A788" s="5" t="str">
        <f>Raw_Data!A788</f>
        <v>TRK100786</v>
      </c>
      <c r="B788" s="5" t="str">
        <f>TRIM(Raw_Data!B788)</f>
        <v>Delhivery</v>
      </c>
      <c r="C788" s="5" t="str">
        <f>TRIM(Raw_Data!C788)</f>
        <v>Tier 2</v>
      </c>
      <c r="D788" s="6">
        <f>DATEVALUE(TEXT(Raw_Data!D788, "YYYY-MM-DD"))</f>
        <v>46054</v>
      </c>
      <c r="E788" s="6">
        <f>IF(ISBLANK(Raw_Data!E788), "", DATEVALUE(TEXT(Raw_Data!E788, "YYYY-MM-DD")))</f>
        <v>46058</v>
      </c>
      <c r="F788" s="5">
        <f t="shared" si="1"/>
        <v>4</v>
      </c>
      <c r="G788" s="5">
        <f t="shared" si="2"/>
        <v>4</v>
      </c>
      <c r="H788" s="5" t="str">
        <f t="shared" si="3"/>
        <v>ON TIME</v>
      </c>
      <c r="I788" s="5">
        <f>Raw_Data!F788</f>
        <v>9353</v>
      </c>
      <c r="J788" s="5">
        <f t="shared" si="4"/>
        <v>0</v>
      </c>
    </row>
    <row r="789">
      <c r="A789" s="5" t="str">
        <f>Raw_Data!A789</f>
        <v>TRK100787</v>
      </c>
      <c r="B789" s="5" t="str">
        <f>TRIM(Raw_Data!B789)</f>
        <v>Delhivery</v>
      </c>
      <c r="C789" s="5" t="str">
        <f>TRIM(Raw_Data!C789)</f>
        <v>Tier 2</v>
      </c>
      <c r="D789" s="6">
        <f>DATEVALUE(TEXT(Raw_Data!D789, "YYYY-MM-DD"))</f>
        <v>46062</v>
      </c>
      <c r="E789" s="6">
        <f>IF(ISBLANK(Raw_Data!E789), "", DATEVALUE(TEXT(Raw_Data!E789, "YYYY-MM-DD")))</f>
        <v>46066</v>
      </c>
      <c r="F789" s="5">
        <f t="shared" si="1"/>
        <v>4</v>
      </c>
      <c r="G789" s="5">
        <f t="shared" si="2"/>
        <v>5</v>
      </c>
      <c r="H789" s="5" t="str">
        <f t="shared" si="3"/>
        <v>SLA BREACH</v>
      </c>
      <c r="I789" s="5">
        <f>Raw_Data!F789</f>
        <v>3352</v>
      </c>
      <c r="J789" s="5">
        <f t="shared" si="4"/>
        <v>167.6</v>
      </c>
    </row>
    <row r="790">
      <c r="A790" s="5" t="str">
        <f>Raw_Data!A790</f>
        <v>TRK100788</v>
      </c>
      <c r="B790" s="5" t="str">
        <f>TRIM(Raw_Data!B790)</f>
        <v>EcomExpress</v>
      </c>
      <c r="C790" s="5" t="str">
        <f>TRIM(Raw_Data!C790)</f>
        <v>Tier 3</v>
      </c>
      <c r="D790" s="6">
        <f>DATEVALUE(TEXT(Raw_Data!D790, "YYYY-MM-DD"))</f>
        <v>46052</v>
      </c>
      <c r="E790" s="6">
        <f>IF(ISBLANK(Raw_Data!E790), "", DATEVALUE(TEXT(Raw_Data!E790, "YYYY-MM-DD")))</f>
        <v>46058</v>
      </c>
      <c r="F790" s="5">
        <f t="shared" si="1"/>
        <v>6</v>
      </c>
      <c r="G790" s="5">
        <f t="shared" si="2"/>
        <v>5</v>
      </c>
      <c r="H790" s="5" t="str">
        <f t="shared" si="3"/>
        <v>ON TIME</v>
      </c>
      <c r="I790" s="5">
        <f>Raw_Data!F790</f>
        <v>11158</v>
      </c>
      <c r="J790" s="5">
        <f t="shared" si="4"/>
        <v>0</v>
      </c>
    </row>
    <row r="791">
      <c r="A791" s="5" t="str">
        <f>Raw_Data!A791</f>
        <v>TRK100789</v>
      </c>
      <c r="B791" s="5" t="str">
        <f>TRIM(Raw_Data!B791)</f>
        <v>Delhivery</v>
      </c>
      <c r="C791" s="5" t="str">
        <f>TRIM(Raw_Data!C791)</f>
        <v>Tier 3</v>
      </c>
      <c r="D791" s="6">
        <f>DATEVALUE(TEXT(Raw_Data!D791, "YYYY-MM-DD"))</f>
        <v>46031</v>
      </c>
      <c r="E791" s="6">
        <f>IF(ISBLANK(Raw_Data!E791), "", DATEVALUE(TEXT(Raw_Data!E791, "YYYY-MM-DD")))</f>
        <v>46040</v>
      </c>
      <c r="F791" s="5">
        <f t="shared" si="1"/>
        <v>6</v>
      </c>
      <c r="G791" s="5">
        <f t="shared" si="2"/>
        <v>6</v>
      </c>
      <c r="H791" s="5" t="str">
        <f t="shared" si="3"/>
        <v>ON TIME</v>
      </c>
      <c r="I791" s="5">
        <f>Raw_Data!F791</f>
        <v>1487</v>
      </c>
      <c r="J791" s="5">
        <f t="shared" si="4"/>
        <v>0</v>
      </c>
    </row>
    <row r="792">
      <c r="A792" s="5" t="str">
        <f>Raw_Data!A792</f>
        <v>TRK100790</v>
      </c>
      <c r="B792" s="5" t="str">
        <f>TRIM(Raw_Data!B792)</f>
        <v>Delhivery</v>
      </c>
      <c r="C792" s="5" t="str">
        <f>TRIM(Raw_Data!C792)</f>
        <v>Metro</v>
      </c>
      <c r="D792" s="6">
        <f>DATEVALUE(TEXT(Raw_Data!D792, "YYYY-MM-DD"))</f>
        <v>46023</v>
      </c>
      <c r="E792" s="6">
        <f>IF(ISBLANK(Raw_Data!E792), "", DATEVALUE(TEXT(Raw_Data!E792, "YYYY-MM-DD")))</f>
        <v>46025</v>
      </c>
      <c r="F792" s="5">
        <f t="shared" si="1"/>
        <v>2</v>
      </c>
      <c r="G792" s="5">
        <f t="shared" si="2"/>
        <v>2</v>
      </c>
      <c r="H792" s="5" t="str">
        <f t="shared" si="3"/>
        <v>ON TIME</v>
      </c>
      <c r="I792" s="5">
        <f>Raw_Data!F792</f>
        <v>8122</v>
      </c>
      <c r="J792" s="5">
        <f t="shared" si="4"/>
        <v>0</v>
      </c>
    </row>
    <row r="793">
      <c r="A793" s="5" t="str">
        <f>Raw_Data!A793</f>
        <v>TRK100791</v>
      </c>
      <c r="B793" s="5" t="str">
        <f>TRIM(Raw_Data!B793)</f>
        <v>Delhivery</v>
      </c>
      <c r="C793" s="5" t="str">
        <f>TRIM(Raw_Data!C793)</f>
        <v>Metro</v>
      </c>
      <c r="D793" s="6">
        <f>DATEVALUE(TEXT(Raw_Data!D793, "YYYY-MM-DD"))</f>
        <v>46044</v>
      </c>
      <c r="E793" s="6">
        <f>IF(ISBLANK(Raw_Data!E793), "", DATEVALUE(TEXT(Raw_Data!E793, "YYYY-MM-DD")))</f>
        <v>46046</v>
      </c>
      <c r="F793" s="5">
        <f t="shared" si="1"/>
        <v>2</v>
      </c>
      <c r="G793" s="5">
        <f t="shared" si="2"/>
        <v>2</v>
      </c>
      <c r="H793" s="5" t="str">
        <f t="shared" si="3"/>
        <v>ON TIME</v>
      </c>
      <c r="I793" s="5">
        <f>Raw_Data!F793</f>
        <v>7827</v>
      </c>
      <c r="J793" s="5">
        <f t="shared" si="4"/>
        <v>0</v>
      </c>
    </row>
    <row r="794">
      <c r="A794" s="5" t="str">
        <f>Raw_Data!A794</f>
        <v>TRK100792</v>
      </c>
      <c r="B794" s="5" t="str">
        <f>TRIM(Raw_Data!B794)</f>
        <v>BlueDart</v>
      </c>
      <c r="C794" s="5" t="str">
        <f>TRIM(Raw_Data!C794)</f>
        <v>Metro</v>
      </c>
      <c r="D794" s="6">
        <f>DATEVALUE(TEXT(Raw_Data!D794, "YYYY-MM-DD"))</f>
        <v>46047</v>
      </c>
      <c r="E794" s="6">
        <f>IF(ISBLANK(Raw_Data!E794), "", DATEVALUE(TEXT(Raw_Data!E794, "YYYY-MM-DD")))</f>
        <v>46049</v>
      </c>
      <c r="F794" s="5">
        <f t="shared" si="1"/>
        <v>2</v>
      </c>
      <c r="G794" s="5">
        <f t="shared" si="2"/>
        <v>2</v>
      </c>
      <c r="H794" s="5" t="str">
        <f t="shared" si="3"/>
        <v>ON TIME</v>
      </c>
      <c r="I794" s="5">
        <f>Raw_Data!F794</f>
        <v>10238</v>
      </c>
      <c r="J794" s="5">
        <f t="shared" si="4"/>
        <v>0</v>
      </c>
    </row>
    <row r="795">
      <c r="A795" s="5" t="str">
        <f>Raw_Data!A795</f>
        <v>TRK100793</v>
      </c>
      <c r="B795" s="5" t="str">
        <f>TRIM(Raw_Data!B795)</f>
        <v>EcomExpress</v>
      </c>
      <c r="C795" s="5" t="str">
        <f>TRIM(Raw_Data!C795)</f>
        <v>Metro</v>
      </c>
      <c r="D795" s="6">
        <f>DATEVALUE(TEXT(Raw_Data!D795, "YYYY-MM-DD"))</f>
        <v>46078</v>
      </c>
      <c r="E795" s="6">
        <f>IF(ISBLANK(Raw_Data!E795), "", DATEVALUE(TEXT(Raw_Data!E795, "YYYY-MM-DD")))</f>
        <v>46080</v>
      </c>
      <c r="F795" s="5">
        <f t="shared" si="1"/>
        <v>2</v>
      </c>
      <c r="G795" s="5">
        <f t="shared" si="2"/>
        <v>3</v>
      </c>
      <c r="H795" s="5" t="str">
        <f t="shared" si="3"/>
        <v>SLA BREACH</v>
      </c>
      <c r="I795" s="5">
        <f>Raw_Data!F795</f>
        <v>9341</v>
      </c>
      <c r="J795" s="5">
        <f t="shared" si="4"/>
        <v>467.05</v>
      </c>
    </row>
    <row r="796">
      <c r="A796" s="5" t="str">
        <f>Raw_Data!A796</f>
        <v>TRK100794</v>
      </c>
      <c r="B796" s="5" t="str">
        <f>TRIM(Raw_Data!B796)</f>
        <v>Delhivery</v>
      </c>
      <c r="C796" s="5" t="str">
        <f>TRIM(Raw_Data!C796)</f>
        <v>Tier 2</v>
      </c>
      <c r="D796" s="6">
        <f>DATEVALUE(TEXT(Raw_Data!D796, "YYYY-MM-DD"))</f>
        <v>46051</v>
      </c>
      <c r="E796" s="6" t="str">
        <f>IF(ISBLANK(Raw_Data!E796), "", DATEVALUE(TEXT(Raw_Data!E796, "YYYY-MM-DD")))</f>
        <v/>
      </c>
      <c r="F796" s="5">
        <f t="shared" si="1"/>
        <v>4</v>
      </c>
      <c r="G796" s="5" t="str">
        <f t="shared" si="2"/>
        <v>In-Transit</v>
      </c>
      <c r="H796" s="5" t="str">
        <f t="shared" si="3"/>
        <v>Pending</v>
      </c>
      <c r="I796" s="5">
        <f>Raw_Data!F796</f>
        <v>9660</v>
      </c>
      <c r="J796" s="5">
        <f t="shared" si="4"/>
        <v>0</v>
      </c>
    </row>
    <row r="797">
      <c r="A797" s="5" t="str">
        <f>Raw_Data!A797</f>
        <v>TRK100795</v>
      </c>
      <c r="B797" s="5" t="str">
        <f>TRIM(Raw_Data!B797)</f>
        <v>EcomExpress</v>
      </c>
      <c r="C797" s="5" t="str">
        <f>TRIM(Raw_Data!C797)</f>
        <v>Metro</v>
      </c>
      <c r="D797" s="6">
        <f>DATEVALUE(TEXT(Raw_Data!D797, "YYYY-MM-DD"))</f>
        <v>46050</v>
      </c>
      <c r="E797" s="6">
        <f>IF(ISBLANK(Raw_Data!E797), "", DATEVALUE(TEXT(Raw_Data!E797, "YYYY-MM-DD")))</f>
        <v>46054</v>
      </c>
      <c r="F797" s="5">
        <f t="shared" si="1"/>
        <v>2</v>
      </c>
      <c r="G797" s="5">
        <f t="shared" si="2"/>
        <v>3</v>
      </c>
      <c r="H797" s="5" t="str">
        <f t="shared" si="3"/>
        <v>SLA BREACH</v>
      </c>
      <c r="I797" s="5">
        <f>Raw_Data!F797</f>
        <v>11329</v>
      </c>
      <c r="J797" s="5">
        <f t="shared" si="4"/>
        <v>566.45</v>
      </c>
    </row>
    <row r="798">
      <c r="A798" s="5" t="str">
        <f>Raw_Data!A798</f>
        <v>TRK100796</v>
      </c>
      <c r="B798" s="5" t="str">
        <f>TRIM(Raw_Data!B798)</f>
        <v>Delhivery</v>
      </c>
      <c r="C798" s="5" t="str">
        <f>TRIM(Raw_Data!C798)</f>
        <v>Metro</v>
      </c>
      <c r="D798" s="6">
        <f>DATEVALUE(TEXT(Raw_Data!D798, "YYYY-MM-DD"))</f>
        <v>46061</v>
      </c>
      <c r="E798" s="6">
        <f>IF(ISBLANK(Raw_Data!E798), "", DATEVALUE(TEXT(Raw_Data!E798, "YYYY-MM-DD")))</f>
        <v>46066</v>
      </c>
      <c r="F798" s="5">
        <f t="shared" si="1"/>
        <v>2</v>
      </c>
      <c r="G798" s="5">
        <f t="shared" si="2"/>
        <v>5</v>
      </c>
      <c r="H798" s="5" t="str">
        <f t="shared" si="3"/>
        <v>SLA BREACH</v>
      </c>
      <c r="I798" s="5">
        <f>Raw_Data!F798</f>
        <v>1600</v>
      </c>
      <c r="J798" s="5">
        <f t="shared" si="4"/>
        <v>80</v>
      </c>
    </row>
    <row r="799">
      <c r="A799" s="5" t="str">
        <f>Raw_Data!A799</f>
        <v>TRK100797</v>
      </c>
      <c r="B799" s="5" t="str">
        <f>TRIM(Raw_Data!B799)</f>
        <v>BlueDart</v>
      </c>
      <c r="C799" s="5" t="str">
        <f>TRIM(Raw_Data!C799)</f>
        <v>Tier 3</v>
      </c>
      <c r="D799" s="6">
        <f>DATEVALUE(TEXT(Raw_Data!D799, "YYYY-MM-DD"))</f>
        <v>46042</v>
      </c>
      <c r="E799" s="6">
        <f>IF(ISBLANK(Raw_Data!E799), "", DATEVALUE(TEXT(Raw_Data!E799, "YYYY-MM-DD")))</f>
        <v>46048</v>
      </c>
      <c r="F799" s="5">
        <f t="shared" si="1"/>
        <v>6</v>
      </c>
      <c r="G799" s="5">
        <f t="shared" si="2"/>
        <v>5</v>
      </c>
      <c r="H799" s="5" t="str">
        <f t="shared" si="3"/>
        <v>ON TIME</v>
      </c>
      <c r="I799" s="5">
        <f>Raw_Data!F799</f>
        <v>7152</v>
      </c>
      <c r="J799" s="5">
        <f t="shared" si="4"/>
        <v>0</v>
      </c>
    </row>
    <row r="800">
      <c r="A800" s="5" t="str">
        <f>Raw_Data!A800</f>
        <v>TRK100798</v>
      </c>
      <c r="B800" s="5" t="str">
        <f>TRIM(Raw_Data!B800)</f>
        <v>EcomExpress</v>
      </c>
      <c r="C800" s="5" t="str">
        <f>TRIM(Raw_Data!C800)</f>
        <v>Metro</v>
      </c>
      <c r="D800" s="6">
        <f>DATEVALUE(TEXT(Raw_Data!D800, "YYYY-MM-DD"))</f>
        <v>46061</v>
      </c>
      <c r="E800" s="6">
        <f>IF(ISBLANK(Raw_Data!E800), "", DATEVALUE(TEXT(Raw_Data!E800, "YYYY-MM-DD")))</f>
        <v>46063</v>
      </c>
      <c r="F800" s="5">
        <f t="shared" si="1"/>
        <v>2</v>
      </c>
      <c r="G800" s="5">
        <f t="shared" si="2"/>
        <v>2</v>
      </c>
      <c r="H800" s="5" t="str">
        <f t="shared" si="3"/>
        <v>ON TIME</v>
      </c>
      <c r="I800" s="5">
        <f>Raw_Data!F800</f>
        <v>9132</v>
      </c>
      <c r="J800" s="5">
        <f t="shared" si="4"/>
        <v>0</v>
      </c>
    </row>
    <row r="801">
      <c r="A801" s="5" t="str">
        <f>Raw_Data!A801</f>
        <v>TRK100799</v>
      </c>
      <c r="B801" s="5" t="str">
        <f>TRIM(Raw_Data!B801)</f>
        <v>BlueDart</v>
      </c>
      <c r="C801" s="5" t="str">
        <f>TRIM(Raw_Data!C801)</f>
        <v>Tier 3</v>
      </c>
      <c r="D801" s="6">
        <f>DATEVALUE(TEXT(Raw_Data!D801, "YYYY-MM-DD"))</f>
        <v>46035</v>
      </c>
      <c r="E801" s="6">
        <f>IF(ISBLANK(Raw_Data!E801), "", DATEVALUE(TEXT(Raw_Data!E801, "YYYY-MM-DD")))</f>
        <v>46044</v>
      </c>
      <c r="F801" s="5">
        <f t="shared" si="1"/>
        <v>6</v>
      </c>
      <c r="G801" s="5">
        <f t="shared" si="2"/>
        <v>8</v>
      </c>
      <c r="H801" s="5" t="str">
        <f t="shared" si="3"/>
        <v>SLA BREACH</v>
      </c>
      <c r="I801" s="5">
        <f>Raw_Data!F801</f>
        <v>7921</v>
      </c>
      <c r="J801" s="5">
        <f t="shared" si="4"/>
        <v>396.05</v>
      </c>
    </row>
    <row r="802">
      <c r="A802" s="5" t="str">
        <f>Raw_Data!A802</f>
        <v>TRK100800</v>
      </c>
      <c r="B802" s="5" t="str">
        <f>TRIM(Raw_Data!B802)</f>
        <v>BlueDart</v>
      </c>
      <c r="C802" s="5" t="str">
        <f>TRIM(Raw_Data!C802)</f>
        <v>Metro</v>
      </c>
      <c r="D802" s="6">
        <f>DATEVALUE(TEXT(Raw_Data!D802, "YYYY-MM-DD"))</f>
        <v>46043</v>
      </c>
      <c r="E802" s="6">
        <f>IF(ISBLANK(Raw_Data!E802), "", DATEVALUE(TEXT(Raw_Data!E802, "YYYY-MM-DD")))</f>
        <v>46046</v>
      </c>
      <c r="F802" s="5">
        <f t="shared" si="1"/>
        <v>2</v>
      </c>
      <c r="G802" s="5">
        <f t="shared" si="2"/>
        <v>3</v>
      </c>
      <c r="H802" s="5" t="str">
        <f t="shared" si="3"/>
        <v>SLA BREACH</v>
      </c>
      <c r="I802" s="5">
        <f>Raw_Data!F802</f>
        <v>5516</v>
      </c>
      <c r="J802" s="5">
        <f t="shared" si="4"/>
        <v>275.8</v>
      </c>
    </row>
    <row r="803">
      <c r="A803" s="5" t="str">
        <f>Raw_Data!A803</f>
        <v>TRK100801</v>
      </c>
      <c r="B803" s="5" t="str">
        <f>TRIM(Raw_Data!B803)</f>
        <v>Delhivery</v>
      </c>
      <c r="C803" s="5" t="str">
        <f>TRIM(Raw_Data!C803)</f>
        <v>Metro</v>
      </c>
      <c r="D803" s="6">
        <f>DATEVALUE(TEXT(Raw_Data!D803, "YYYY-MM-DD"))</f>
        <v>46048</v>
      </c>
      <c r="E803" s="6">
        <f>IF(ISBLANK(Raw_Data!E803), "", DATEVALUE(TEXT(Raw_Data!E803, "YYYY-MM-DD")))</f>
        <v>46050</v>
      </c>
      <c r="F803" s="5">
        <f t="shared" si="1"/>
        <v>2</v>
      </c>
      <c r="G803" s="5">
        <f t="shared" si="2"/>
        <v>3</v>
      </c>
      <c r="H803" s="5" t="str">
        <f t="shared" si="3"/>
        <v>SLA BREACH</v>
      </c>
      <c r="I803" s="5">
        <f>Raw_Data!F803</f>
        <v>1269</v>
      </c>
      <c r="J803" s="5">
        <f t="shared" si="4"/>
        <v>63.45</v>
      </c>
    </row>
    <row r="804">
      <c r="A804" s="5" t="str">
        <f>Raw_Data!A804</f>
        <v>TRK100802</v>
      </c>
      <c r="B804" s="5" t="str">
        <f>TRIM(Raw_Data!B804)</f>
        <v>EcomExpress</v>
      </c>
      <c r="C804" s="5" t="str">
        <f>TRIM(Raw_Data!C804)</f>
        <v>Tier 3</v>
      </c>
      <c r="D804" s="6">
        <f>DATEVALUE(TEXT(Raw_Data!D804, "YYYY-MM-DD"))</f>
        <v>46041</v>
      </c>
      <c r="E804" s="6">
        <f>IF(ISBLANK(Raw_Data!E804), "", DATEVALUE(TEXT(Raw_Data!E804, "YYYY-MM-DD")))</f>
        <v>46047</v>
      </c>
      <c r="F804" s="5">
        <f t="shared" si="1"/>
        <v>6</v>
      </c>
      <c r="G804" s="5">
        <f t="shared" si="2"/>
        <v>5</v>
      </c>
      <c r="H804" s="5" t="str">
        <f t="shared" si="3"/>
        <v>ON TIME</v>
      </c>
      <c r="I804" s="5">
        <f>Raw_Data!F804</f>
        <v>1843</v>
      </c>
      <c r="J804" s="5">
        <f t="shared" si="4"/>
        <v>0</v>
      </c>
    </row>
    <row r="805">
      <c r="A805" s="5" t="str">
        <f>Raw_Data!A805</f>
        <v>TRK100803</v>
      </c>
      <c r="B805" s="5" t="str">
        <f>TRIM(Raw_Data!B805)</f>
        <v>EcomExpress</v>
      </c>
      <c r="C805" s="5" t="str">
        <f>TRIM(Raw_Data!C805)</f>
        <v>Tier 2</v>
      </c>
      <c r="D805" s="6">
        <f>DATEVALUE(TEXT(Raw_Data!D805, "YYYY-MM-DD"))</f>
        <v>46067</v>
      </c>
      <c r="E805" s="6">
        <f>IF(ISBLANK(Raw_Data!E805), "", DATEVALUE(TEXT(Raw_Data!E805, "YYYY-MM-DD")))</f>
        <v>46071</v>
      </c>
      <c r="F805" s="5">
        <f t="shared" si="1"/>
        <v>4</v>
      </c>
      <c r="G805" s="5">
        <f t="shared" si="2"/>
        <v>3</v>
      </c>
      <c r="H805" s="5" t="str">
        <f t="shared" si="3"/>
        <v>ON TIME</v>
      </c>
      <c r="I805" s="5">
        <f>Raw_Data!F805</f>
        <v>4858</v>
      </c>
      <c r="J805" s="5">
        <f t="shared" si="4"/>
        <v>0</v>
      </c>
    </row>
    <row r="806">
      <c r="A806" s="5" t="str">
        <f>Raw_Data!A806</f>
        <v>TRK100804</v>
      </c>
      <c r="B806" s="5" t="str">
        <f>TRIM(Raw_Data!B806)</f>
        <v>EcomExpress</v>
      </c>
      <c r="C806" s="5" t="str">
        <f>TRIM(Raw_Data!C806)</f>
        <v>Tier 2</v>
      </c>
      <c r="D806" s="6">
        <f>DATEVALUE(TEXT(Raw_Data!D806, "YYYY-MM-DD"))</f>
        <v>46054</v>
      </c>
      <c r="E806" s="6">
        <f>IF(ISBLANK(Raw_Data!E806), "", DATEVALUE(TEXT(Raw_Data!E806, "YYYY-MM-DD")))</f>
        <v>46058</v>
      </c>
      <c r="F806" s="5">
        <f t="shared" si="1"/>
        <v>4</v>
      </c>
      <c r="G806" s="5">
        <f t="shared" si="2"/>
        <v>4</v>
      </c>
      <c r="H806" s="5" t="str">
        <f t="shared" si="3"/>
        <v>ON TIME</v>
      </c>
      <c r="I806" s="5">
        <f>Raw_Data!F806</f>
        <v>10269</v>
      </c>
      <c r="J806" s="5">
        <f t="shared" si="4"/>
        <v>0</v>
      </c>
    </row>
    <row r="807">
      <c r="A807" s="5" t="str">
        <f>Raw_Data!A807</f>
        <v>TRK100805</v>
      </c>
      <c r="B807" s="5" t="str">
        <f>TRIM(Raw_Data!B807)</f>
        <v>EcomExpress</v>
      </c>
      <c r="C807" s="5" t="str">
        <f>TRIM(Raw_Data!C807)</f>
        <v>Tier 3</v>
      </c>
      <c r="D807" s="6">
        <f>DATEVALUE(TEXT(Raw_Data!D807, "YYYY-MM-DD"))</f>
        <v>46073</v>
      </c>
      <c r="E807" s="6">
        <f>IF(ISBLANK(Raw_Data!E807), "", DATEVALUE(TEXT(Raw_Data!E807, "YYYY-MM-DD")))</f>
        <v>46080</v>
      </c>
      <c r="F807" s="5">
        <f t="shared" si="1"/>
        <v>6</v>
      </c>
      <c r="G807" s="5">
        <f t="shared" si="2"/>
        <v>6</v>
      </c>
      <c r="H807" s="5" t="str">
        <f t="shared" si="3"/>
        <v>ON TIME</v>
      </c>
      <c r="I807" s="5">
        <f>Raw_Data!F807</f>
        <v>7280</v>
      </c>
      <c r="J807" s="5">
        <f t="shared" si="4"/>
        <v>0</v>
      </c>
    </row>
    <row r="808">
      <c r="A808" s="5" t="str">
        <f>Raw_Data!A808</f>
        <v>TRK100806</v>
      </c>
      <c r="B808" s="5" t="str">
        <f>TRIM(Raw_Data!B808)</f>
        <v>Delhivery</v>
      </c>
      <c r="C808" s="5" t="str">
        <f>TRIM(Raw_Data!C808)</f>
        <v>Tier 3</v>
      </c>
      <c r="D808" s="6">
        <f>DATEVALUE(TEXT(Raw_Data!D808, "YYYY-MM-DD"))</f>
        <v>46043</v>
      </c>
      <c r="E808" s="6">
        <f>IF(ISBLANK(Raw_Data!E808), "", DATEVALUE(TEXT(Raw_Data!E808, "YYYY-MM-DD")))</f>
        <v>46052</v>
      </c>
      <c r="F808" s="5">
        <f t="shared" si="1"/>
        <v>6</v>
      </c>
      <c r="G808" s="5">
        <f t="shared" si="2"/>
        <v>8</v>
      </c>
      <c r="H808" s="5" t="str">
        <f t="shared" si="3"/>
        <v>SLA BREACH</v>
      </c>
      <c r="I808" s="5">
        <f>Raw_Data!F808</f>
        <v>7102</v>
      </c>
      <c r="J808" s="5">
        <f t="shared" si="4"/>
        <v>355.1</v>
      </c>
    </row>
    <row r="809">
      <c r="A809" s="5" t="str">
        <f>Raw_Data!A809</f>
        <v>TRK100807</v>
      </c>
      <c r="B809" s="5" t="str">
        <f>TRIM(Raw_Data!B809)</f>
        <v>Delhivery</v>
      </c>
      <c r="C809" s="5" t="str">
        <f>TRIM(Raw_Data!C809)</f>
        <v>Tier 2</v>
      </c>
      <c r="D809" s="6">
        <f>DATEVALUE(TEXT(Raw_Data!D809, "YYYY-MM-DD"))</f>
        <v>46040</v>
      </c>
      <c r="E809" s="6">
        <f>IF(ISBLANK(Raw_Data!E809), "", DATEVALUE(TEXT(Raw_Data!E809, "YYYY-MM-DD")))</f>
        <v>46047</v>
      </c>
      <c r="F809" s="5">
        <f t="shared" si="1"/>
        <v>4</v>
      </c>
      <c r="G809" s="5">
        <f t="shared" si="2"/>
        <v>5</v>
      </c>
      <c r="H809" s="5" t="str">
        <f t="shared" si="3"/>
        <v>SLA BREACH</v>
      </c>
      <c r="I809" s="5">
        <f>Raw_Data!F809</f>
        <v>2849</v>
      </c>
      <c r="J809" s="5">
        <f t="shared" si="4"/>
        <v>142.45</v>
      </c>
    </row>
    <row r="810">
      <c r="A810" s="5" t="str">
        <f>Raw_Data!A810</f>
        <v>TRK100808</v>
      </c>
      <c r="B810" s="5" t="str">
        <f>TRIM(Raw_Data!B810)</f>
        <v>BlueDart</v>
      </c>
      <c r="C810" s="5" t="str">
        <f>TRIM(Raw_Data!C810)</f>
        <v>Tier 3</v>
      </c>
      <c r="D810" s="6">
        <f>DATEVALUE(TEXT(Raw_Data!D810, "YYYY-MM-DD"))</f>
        <v>46048</v>
      </c>
      <c r="E810" s="6">
        <f>IF(ISBLANK(Raw_Data!E810), "", DATEVALUE(TEXT(Raw_Data!E810, "YYYY-MM-DD")))</f>
        <v>46054</v>
      </c>
      <c r="F810" s="5">
        <f t="shared" si="1"/>
        <v>6</v>
      </c>
      <c r="G810" s="5">
        <f t="shared" si="2"/>
        <v>5</v>
      </c>
      <c r="H810" s="5" t="str">
        <f t="shared" si="3"/>
        <v>ON TIME</v>
      </c>
      <c r="I810" s="5">
        <f>Raw_Data!F810</f>
        <v>6199</v>
      </c>
      <c r="J810" s="5">
        <f t="shared" si="4"/>
        <v>0</v>
      </c>
    </row>
    <row r="811">
      <c r="A811" s="5" t="str">
        <f>Raw_Data!A811</f>
        <v>TRK100809</v>
      </c>
      <c r="B811" s="5" t="str">
        <f>TRIM(Raw_Data!B811)</f>
        <v>Delhivery</v>
      </c>
      <c r="C811" s="5" t="str">
        <f>TRIM(Raw_Data!C811)</f>
        <v>Tier 3</v>
      </c>
      <c r="D811" s="6">
        <f>DATEVALUE(TEXT(Raw_Data!D811, "YYYY-MM-DD"))</f>
        <v>46030</v>
      </c>
      <c r="E811" s="6">
        <f>IF(ISBLANK(Raw_Data!E811), "", DATEVALUE(TEXT(Raw_Data!E811, "YYYY-MM-DD")))</f>
        <v>46036</v>
      </c>
      <c r="F811" s="5">
        <f t="shared" si="1"/>
        <v>6</v>
      </c>
      <c r="G811" s="5">
        <f t="shared" si="2"/>
        <v>5</v>
      </c>
      <c r="H811" s="5" t="str">
        <f t="shared" si="3"/>
        <v>ON TIME</v>
      </c>
      <c r="I811" s="5">
        <f>Raw_Data!F811</f>
        <v>1741</v>
      </c>
      <c r="J811" s="5">
        <f t="shared" si="4"/>
        <v>0</v>
      </c>
    </row>
    <row r="812">
      <c r="A812" s="5" t="str">
        <f>Raw_Data!A812</f>
        <v>TRK100810</v>
      </c>
      <c r="B812" s="5" t="str">
        <f>TRIM(Raw_Data!B812)</f>
        <v>EcomExpress</v>
      </c>
      <c r="C812" s="5" t="str">
        <f>TRIM(Raw_Data!C812)</f>
        <v>Tier 3</v>
      </c>
      <c r="D812" s="6">
        <f>DATEVALUE(TEXT(Raw_Data!D812, "YYYY-MM-DD"))</f>
        <v>46035</v>
      </c>
      <c r="E812" s="6">
        <f>IF(ISBLANK(Raw_Data!E812), "", DATEVALUE(TEXT(Raw_Data!E812, "YYYY-MM-DD")))</f>
        <v>46046</v>
      </c>
      <c r="F812" s="5">
        <f t="shared" si="1"/>
        <v>6</v>
      </c>
      <c r="G812" s="5">
        <f t="shared" si="2"/>
        <v>9</v>
      </c>
      <c r="H812" s="5" t="str">
        <f t="shared" si="3"/>
        <v>SLA BREACH</v>
      </c>
      <c r="I812" s="5">
        <f>Raw_Data!F812</f>
        <v>1625</v>
      </c>
      <c r="J812" s="5">
        <f t="shared" si="4"/>
        <v>81.25</v>
      </c>
    </row>
    <row r="813">
      <c r="A813" s="5" t="str">
        <f>Raw_Data!A813</f>
        <v>TRK100811</v>
      </c>
      <c r="B813" s="5" t="str">
        <f>TRIM(Raw_Data!B813)</f>
        <v>Delhivery</v>
      </c>
      <c r="C813" s="5" t="str">
        <f>TRIM(Raw_Data!C813)</f>
        <v>Tier 3</v>
      </c>
      <c r="D813" s="6">
        <f>DATEVALUE(TEXT(Raw_Data!D813, "YYYY-MM-DD"))</f>
        <v>46057</v>
      </c>
      <c r="E813" s="6">
        <f>IF(ISBLANK(Raw_Data!E813), "", DATEVALUE(TEXT(Raw_Data!E813, "YYYY-MM-DD")))</f>
        <v>46065</v>
      </c>
      <c r="F813" s="5">
        <f t="shared" si="1"/>
        <v>6</v>
      </c>
      <c r="G813" s="5">
        <f t="shared" si="2"/>
        <v>7</v>
      </c>
      <c r="H813" s="5" t="str">
        <f t="shared" si="3"/>
        <v>SLA BREACH</v>
      </c>
      <c r="I813" s="5">
        <f>Raw_Data!F813</f>
        <v>11293</v>
      </c>
      <c r="J813" s="5">
        <f t="shared" si="4"/>
        <v>564.65</v>
      </c>
    </row>
    <row r="814">
      <c r="A814" s="5" t="str">
        <f>Raw_Data!A814</f>
        <v>TRK100812</v>
      </c>
      <c r="B814" s="5" t="str">
        <f>TRIM(Raw_Data!B814)</f>
        <v>BlueDart</v>
      </c>
      <c r="C814" s="5" t="str">
        <f>TRIM(Raw_Data!C814)</f>
        <v>Tier 3</v>
      </c>
      <c r="D814" s="6">
        <f>DATEVALUE(TEXT(Raw_Data!D814, "YYYY-MM-DD"))</f>
        <v>46066</v>
      </c>
      <c r="E814" s="6">
        <f>IF(ISBLANK(Raw_Data!E814), "", DATEVALUE(TEXT(Raw_Data!E814, "YYYY-MM-DD")))</f>
        <v>46072</v>
      </c>
      <c r="F814" s="5">
        <f t="shared" si="1"/>
        <v>6</v>
      </c>
      <c r="G814" s="5">
        <f t="shared" si="2"/>
        <v>5</v>
      </c>
      <c r="H814" s="5" t="str">
        <f t="shared" si="3"/>
        <v>ON TIME</v>
      </c>
      <c r="I814" s="5">
        <f>Raw_Data!F814</f>
        <v>9882</v>
      </c>
      <c r="J814" s="5">
        <f t="shared" si="4"/>
        <v>0</v>
      </c>
    </row>
    <row r="815">
      <c r="A815" s="5" t="str">
        <f>Raw_Data!A815</f>
        <v>TRK100813</v>
      </c>
      <c r="B815" s="5" t="str">
        <f>TRIM(Raw_Data!B815)</f>
        <v>EcomExpress</v>
      </c>
      <c r="C815" s="5" t="str">
        <f>TRIM(Raw_Data!C815)</f>
        <v>Tier 2</v>
      </c>
      <c r="D815" s="6">
        <f>DATEVALUE(TEXT(Raw_Data!D815, "YYYY-MM-DD"))</f>
        <v>46058</v>
      </c>
      <c r="E815" s="6">
        <f>IF(ISBLANK(Raw_Data!E815), "", DATEVALUE(TEXT(Raw_Data!E815, "YYYY-MM-DD")))</f>
        <v>46065</v>
      </c>
      <c r="F815" s="5">
        <f t="shared" si="1"/>
        <v>4</v>
      </c>
      <c r="G815" s="5">
        <f t="shared" si="2"/>
        <v>6</v>
      </c>
      <c r="H815" s="5" t="str">
        <f t="shared" si="3"/>
        <v>SLA BREACH</v>
      </c>
      <c r="I815" s="5">
        <f>Raw_Data!F815</f>
        <v>7264</v>
      </c>
      <c r="J815" s="5">
        <f t="shared" si="4"/>
        <v>363.2</v>
      </c>
    </row>
    <row r="816">
      <c r="A816" s="5" t="str">
        <f>Raw_Data!A816</f>
        <v>TRK100814</v>
      </c>
      <c r="B816" s="5" t="str">
        <f>TRIM(Raw_Data!B816)</f>
        <v>EcomExpress</v>
      </c>
      <c r="C816" s="5" t="str">
        <f>TRIM(Raw_Data!C816)</f>
        <v>Tier 3</v>
      </c>
      <c r="D816" s="6">
        <f>DATEVALUE(TEXT(Raw_Data!D816, "YYYY-MM-DD"))</f>
        <v>46083</v>
      </c>
      <c r="E816" s="6">
        <f>IF(ISBLANK(Raw_Data!E816), "", DATEVALUE(TEXT(Raw_Data!E816, "YYYY-MM-DD")))</f>
        <v>46091</v>
      </c>
      <c r="F816" s="5">
        <f t="shared" si="1"/>
        <v>6</v>
      </c>
      <c r="G816" s="5">
        <f t="shared" si="2"/>
        <v>7</v>
      </c>
      <c r="H816" s="5" t="str">
        <f t="shared" si="3"/>
        <v>SLA BREACH</v>
      </c>
      <c r="I816" s="5">
        <f>Raw_Data!F816</f>
        <v>5601</v>
      </c>
      <c r="J816" s="5">
        <f t="shared" si="4"/>
        <v>280.05</v>
      </c>
    </row>
    <row r="817">
      <c r="A817" s="5" t="str">
        <f>Raw_Data!A817</f>
        <v>TRK100815</v>
      </c>
      <c r="B817" s="5" t="str">
        <f>TRIM(Raw_Data!B817)</f>
        <v>BlueDart</v>
      </c>
      <c r="C817" s="5" t="str">
        <f>TRIM(Raw_Data!C817)</f>
        <v>Tier 2</v>
      </c>
      <c r="D817" s="6">
        <f>DATEVALUE(TEXT(Raw_Data!D817, "YYYY-MM-DD"))</f>
        <v>46052</v>
      </c>
      <c r="E817" s="6">
        <f>IF(ISBLANK(Raw_Data!E817), "", DATEVALUE(TEXT(Raw_Data!E817, "YYYY-MM-DD")))</f>
        <v>46056</v>
      </c>
      <c r="F817" s="5">
        <f t="shared" si="1"/>
        <v>4</v>
      </c>
      <c r="G817" s="5">
        <f t="shared" si="2"/>
        <v>3</v>
      </c>
      <c r="H817" s="5" t="str">
        <f t="shared" si="3"/>
        <v>ON TIME</v>
      </c>
      <c r="I817" s="5">
        <f>Raw_Data!F817</f>
        <v>8343</v>
      </c>
      <c r="J817" s="5">
        <f t="shared" si="4"/>
        <v>0</v>
      </c>
    </row>
    <row r="818">
      <c r="A818" s="5" t="str">
        <f>Raw_Data!A818</f>
        <v>TRK100816</v>
      </c>
      <c r="B818" s="5" t="str">
        <f>TRIM(Raw_Data!B818)</f>
        <v>BlueDart</v>
      </c>
      <c r="C818" s="5" t="str">
        <f>TRIM(Raw_Data!C818)</f>
        <v>Metro</v>
      </c>
      <c r="D818" s="6">
        <f>DATEVALUE(TEXT(Raw_Data!D818, "YYYY-MM-DD"))</f>
        <v>46036</v>
      </c>
      <c r="E818" s="6">
        <f>IF(ISBLANK(Raw_Data!E818), "", DATEVALUE(TEXT(Raw_Data!E818, "YYYY-MM-DD")))</f>
        <v>46038</v>
      </c>
      <c r="F818" s="5">
        <f t="shared" si="1"/>
        <v>2</v>
      </c>
      <c r="G818" s="5">
        <f t="shared" si="2"/>
        <v>3</v>
      </c>
      <c r="H818" s="5" t="str">
        <f t="shared" si="3"/>
        <v>SLA BREACH</v>
      </c>
      <c r="I818" s="5">
        <f>Raw_Data!F818</f>
        <v>572</v>
      </c>
      <c r="J818" s="5">
        <f t="shared" si="4"/>
        <v>28.6</v>
      </c>
    </row>
    <row r="819">
      <c r="A819" s="5" t="str">
        <f>Raw_Data!A819</f>
        <v>TRK100817</v>
      </c>
      <c r="B819" s="5" t="str">
        <f>TRIM(Raw_Data!B819)</f>
        <v>EcomExpress</v>
      </c>
      <c r="C819" s="5" t="str">
        <f>TRIM(Raw_Data!C819)</f>
        <v>Tier 2</v>
      </c>
      <c r="D819" s="6">
        <f>DATEVALUE(TEXT(Raw_Data!D819, "YYYY-MM-DD"))</f>
        <v>46074</v>
      </c>
      <c r="E819" s="6">
        <f>IF(ISBLANK(Raw_Data!E819), "", DATEVALUE(TEXT(Raw_Data!E819, "YYYY-MM-DD")))</f>
        <v>46078</v>
      </c>
      <c r="F819" s="5">
        <f t="shared" si="1"/>
        <v>4</v>
      </c>
      <c r="G819" s="5">
        <f t="shared" si="2"/>
        <v>3</v>
      </c>
      <c r="H819" s="5" t="str">
        <f t="shared" si="3"/>
        <v>ON TIME</v>
      </c>
      <c r="I819" s="5">
        <f>Raw_Data!F819</f>
        <v>5972</v>
      </c>
      <c r="J819" s="5">
        <f t="shared" si="4"/>
        <v>0</v>
      </c>
    </row>
    <row r="820">
      <c r="A820" s="5" t="str">
        <f>Raw_Data!A820</f>
        <v>TRK100818</v>
      </c>
      <c r="B820" s="5" t="str">
        <f>TRIM(Raw_Data!B820)</f>
        <v>Delhivery</v>
      </c>
      <c r="C820" s="5" t="str">
        <f>TRIM(Raw_Data!C820)</f>
        <v>Metro</v>
      </c>
      <c r="D820" s="6">
        <f>DATEVALUE(TEXT(Raw_Data!D820, "YYYY-MM-DD"))</f>
        <v>46076</v>
      </c>
      <c r="E820" s="6">
        <f>IF(ISBLANK(Raw_Data!E820), "", DATEVALUE(TEXT(Raw_Data!E820, "YYYY-MM-DD")))</f>
        <v>46078</v>
      </c>
      <c r="F820" s="5">
        <f t="shared" si="1"/>
        <v>2</v>
      </c>
      <c r="G820" s="5">
        <f t="shared" si="2"/>
        <v>3</v>
      </c>
      <c r="H820" s="5" t="str">
        <f t="shared" si="3"/>
        <v>SLA BREACH</v>
      </c>
      <c r="I820" s="5">
        <f>Raw_Data!F820</f>
        <v>10606</v>
      </c>
      <c r="J820" s="5">
        <f t="shared" si="4"/>
        <v>530.3</v>
      </c>
    </row>
    <row r="821">
      <c r="A821" s="5" t="str">
        <f>Raw_Data!A821</f>
        <v>TRK100819</v>
      </c>
      <c r="B821" s="5" t="str">
        <f>TRIM(Raw_Data!B821)</f>
        <v>Delhivery</v>
      </c>
      <c r="C821" s="5" t="str">
        <f>TRIM(Raw_Data!C821)</f>
        <v>Tier 2</v>
      </c>
      <c r="D821" s="6">
        <f>DATEVALUE(TEXT(Raw_Data!D821, "YYYY-MM-DD"))</f>
        <v>46027</v>
      </c>
      <c r="E821" s="6">
        <f>IF(ISBLANK(Raw_Data!E821), "", DATEVALUE(TEXT(Raw_Data!E821, "YYYY-MM-DD")))</f>
        <v>46031</v>
      </c>
      <c r="F821" s="5">
        <f t="shared" si="1"/>
        <v>4</v>
      </c>
      <c r="G821" s="5">
        <f t="shared" si="2"/>
        <v>5</v>
      </c>
      <c r="H821" s="5" t="str">
        <f t="shared" si="3"/>
        <v>SLA BREACH</v>
      </c>
      <c r="I821" s="5">
        <f>Raw_Data!F821</f>
        <v>5689</v>
      </c>
      <c r="J821" s="5">
        <f t="shared" si="4"/>
        <v>284.45</v>
      </c>
    </row>
    <row r="822">
      <c r="A822" s="5" t="str">
        <f>Raw_Data!A822</f>
        <v>TRK100820</v>
      </c>
      <c r="B822" s="5" t="str">
        <f>TRIM(Raw_Data!B822)</f>
        <v>EcomExpress</v>
      </c>
      <c r="C822" s="5" t="str">
        <f>TRIM(Raw_Data!C822)</f>
        <v>Tier 2</v>
      </c>
      <c r="D822" s="6">
        <f>DATEVALUE(TEXT(Raw_Data!D822, "YYYY-MM-DD"))</f>
        <v>46073</v>
      </c>
      <c r="E822" s="6">
        <f>IF(ISBLANK(Raw_Data!E822), "", DATEVALUE(TEXT(Raw_Data!E822, "YYYY-MM-DD")))</f>
        <v>46078</v>
      </c>
      <c r="F822" s="5">
        <f t="shared" si="1"/>
        <v>4</v>
      </c>
      <c r="G822" s="5">
        <f t="shared" si="2"/>
        <v>4</v>
      </c>
      <c r="H822" s="5" t="str">
        <f t="shared" si="3"/>
        <v>ON TIME</v>
      </c>
      <c r="I822" s="5">
        <f>Raw_Data!F822</f>
        <v>2972</v>
      </c>
      <c r="J822" s="5">
        <f t="shared" si="4"/>
        <v>0</v>
      </c>
    </row>
    <row r="823">
      <c r="A823" s="5" t="str">
        <f>Raw_Data!A823</f>
        <v>TRK100821</v>
      </c>
      <c r="B823" s="5" t="str">
        <f>TRIM(Raw_Data!B823)</f>
        <v>EcomExpress</v>
      </c>
      <c r="C823" s="5" t="str">
        <f>TRIM(Raw_Data!C823)</f>
        <v>Tier 3</v>
      </c>
      <c r="D823" s="6">
        <f>DATEVALUE(TEXT(Raw_Data!D823, "YYYY-MM-DD"))</f>
        <v>46066</v>
      </c>
      <c r="E823" s="6">
        <f>IF(ISBLANK(Raw_Data!E823), "", DATEVALUE(TEXT(Raw_Data!E823, "YYYY-MM-DD")))</f>
        <v>46072</v>
      </c>
      <c r="F823" s="5">
        <f t="shared" si="1"/>
        <v>6</v>
      </c>
      <c r="G823" s="5">
        <f t="shared" si="2"/>
        <v>5</v>
      </c>
      <c r="H823" s="5" t="str">
        <f t="shared" si="3"/>
        <v>ON TIME</v>
      </c>
      <c r="I823" s="5">
        <f>Raw_Data!F823</f>
        <v>11738</v>
      </c>
      <c r="J823" s="5">
        <f t="shared" si="4"/>
        <v>0</v>
      </c>
    </row>
    <row r="824">
      <c r="A824" s="5" t="str">
        <f>Raw_Data!A824</f>
        <v>TRK100822</v>
      </c>
      <c r="B824" s="5" t="str">
        <f>TRIM(Raw_Data!B824)</f>
        <v>EcomExpress</v>
      </c>
      <c r="C824" s="5" t="str">
        <f>TRIM(Raw_Data!C824)</f>
        <v>Tier 2</v>
      </c>
      <c r="D824" s="6">
        <f>DATEVALUE(TEXT(Raw_Data!D824, "YYYY-MM-DD"))</f>
        <v>46031</v>
      </c>
      <c r="E824" s="6">
        <f>IF(ISBLANK(Raw_Data!E824), "", DATEVALUE(TEXT(Raw_Data!E824, "YYYY-MM-DD")))</f>
        <v>46035</v>
      </c>
      <c r="F824" s="5">
        <f t="shared" si="1"/>
        <v>4</v>
      </c>
      <c r="G824" s="5">
        <f t="shared" si="2"/>
        <v>3</v>
      </c>
      <c r="H824" s="5" t="str">
        <f t="shared" si="3"/>
        <v>ON TIME</v>
      </c>
      <c r="I824" s="5">
        <f>Raw_Data!F824</f>
        <v>1207</v>
      </c>
      <c r="J824" s="5">
        <f t="shared" si="4"/>
        <v>0</v>
      </c>
    </row>
    <row r="825">
      <c r="A825" s="5" t="str">
        <f>Raw_Data!A825</f>
        <v>TRK100823</v>
      </c>
      <c r="B825" s="5" t="str">
        <f>TRIM(Raw_Data!B825)</f>
        <v>Delhivery</v>
      </c>
      <c r="C825" s="5" t="str">
        <f>TRIM(Raw_Data!C825)</f>
        <v>Tier 2</v>
      </c>
      <c r="D825" s="6">
        <f>DATEVALUE(TEXT(Raw_Data!D825, "YYYY-MM-DD"))</f>
        <v>46042</v>
      </c>
      <c r="E825" s="6">
        <f>IF(ISBLANK(Raw_Data!E825), "", DATEVALUE(TEXT(Raw_Data!E825, "YYYY-MM-DD")))</f>
        <v>46046</v>
      </c>
      <c r="F825" s="5">
        <f t="shared" si="1"/>
        <v>4</v>
      </c>
      <c r="G825" s="5">
        <f t="shared" si="2"/>
        <v>4</v>
      </c>
      <c r="H825" s="5" t="str">
        <f t="shared" si="3"/>
        <v>ON TIME</v>
      </c>
      <c r="I825" s="5">
        <f>Raw_Data!F825</f>
        <v>2304</v>
      </c>
      <c r="J825" s="5">
        <f t="shared" si="4"/>
        <v>0</v>
      </c>
    </row>
    <row r="826">
      <c r="A826" s="5" t="str">
        <f>Raw_Data!A826</f>
        <v>TRK100824</v>
      </c>
      <c r="B826" s="5" t="str">
        <f>TRIM(Raw_Data!B826)</f>
        <v>Delhivery</v>
      </c>
      <c r="C826" s="5" t="str">
        <f>TRIM(Raw_Data!C826)</f>
        <v>Tier 3</v>
      </c>
      <c r="D826" s="6">
        <f>DATEVALUE(TEXT(Raw_Data!D826, "YYYY-MM-DD"))</f>
        <v>46039</v>
      </c>
      <c r="E826" s="6">
        <f>IF(ISBLANK(Raw_Data!E826), "", DATEVALUE(TEXT(Raw_Data!E826, "YYYY-MM-DD")))</f>
        <v>46045</v>
      </c>
      <c r="F826" s="5">
        <f t="shared" si="1"/>
        <v>6</v>
      </c>
      <c r="G826" s="5">
        <f t="shared" si="2"/>
        <v>5</v>
      </c>
      <c r="H826" s="5" t="str">
        <f t="shared" si="3"/>
        <v>ON TIME</v>
      </c>
      <c r="I826" s="5">
        <f>Raw_Data!F826</f>
        <v>7204</v>
      </c>
      <c r="J826" s="5">
        <f t="shared" si="4"/>
        <v>0</v>
      </c>
    </row>
    <row r="827">
      <c r="A827" s="5" t="str">
        <f>Raw_Data!A827</f>
        <v>TRK100825</v>
      </c>
      <c r="B827" s="5" t="str">
        <f>TRIM(Raw_Data!B827)</f>
        <v>EcomExpress</v>
      </c>
      <c r="C827" s="5" t="str">
        <f>TRIM(Raw_Data!C827)</f>
        <v>Metro</v>
      </c>
      <c r="D827" s="6">
        <f>DATEVALUE(TEXT(Raw_Data!D827, "YYYY-MM-DD"))</f>
        <v>46032</v>
      </c>
      <c r="E827" s="6">
        <f>IF(ISBLANK(Raw_Data!E827), "", DATEVALUE(TEXT(Raw_Data!E827, "YYYY-MM-DD")))</f>
        <v>46036</v>
      </c>
      <c r="F827" s="5">
        <f t="shared" si="1"/>
        <v>2</v>
      </c>
      <c r="G827" s="5">
        <f t="shared" si="2"/>
        <v>3</v>
      </c>
      <c r="H827" s="5" t="str">
        <f t="shared" si="3"/>
        <v>SLA BREACH</v>
      </c>
      <c r="I827" s="5">
        <f>Raw_Data!F827</f>
        <v>4213</v>
      </c>
      <c r="J827" s="5">
        <f t="shared" si="4"/>
        <v>210.65</v>
      </c>
    </row>
    <row r="828">
      <c r="A828" s="5" t="str">
        <f>Raw_Data!A828</f>
        <v>TRK100826</v>
      </c>
      <c r="B828" s="5" t="str">
        <f>TRIM(Raw_Data!B828)</f>
        <v>BlueDart</v>
      </c>
      <c r="C828" s="5" t="str">
        <f>TRIM(Raw_Data!C828)</f>
        <v>Tier 2</v>
      </c>
      <c r="D828" s="6">
        <f>DATEVALUE(TEXT(Raw_Data!D828, "YYYY-MM-DD"))</f>
        <v>46050</v>
      </c>
      <c r="E828" s="6">
        <f>IF(ISBLANK(Raw_Data!E828), "", DATEVALUE(TEXT(Raw_Data!E828, "YYYY-MM-DD")))</f>
        <v>46054</v>
      </c>
      <c r="F828" s="5">
        <f t="shared" si="1"/>
        <v>4</v>
      </c>
      <c r="G828" s="5">
        <f t="shared" si="2"/>
        <v>3</v>
      </c>
      <c r="H828" s="5" t="str">
        <f t="shared" si="3"/>
        <v>ON TIME</v>
      </c>
      <c r="I828" s="5">
        <f>Raw_Data!F828</f>
        <v>5551</v>
      </c>
      <c r="J828" s="5">
        <f t="shared" si="4"/>
        <v>0</v>
      </c>
    </row>
    <row r="829">
      <c r="A829" s="5" t="str">
        <f>Raw_Data!A829</f>
        <v>TRK100827</v>
      </c>
      <c r="B829" s="5" t="str">
        <f>TRIM(Raw_Data!B829)</f>
        <v>EcomExpress</v>
      </c>
      <c r="C829" s="5" t="str">
        <f>TRIM(Raw_Data!C829)</f>
        <v>Tier 3</v>
      </c>
      <c r="D829" s="6">
        <f>DATEVALUE(TEXT(Raw_Data!D829, "YYYY-MM-DD"))</f>
        <v>46047</v>
      </c>
      <c r="E829" s="6">
        <f>IF(ISBLANK(Raw_Data!E829), "", DATEVALUE(TEXT(Raw_Data!E829, "YYYY-MM-DD")))</f>
        <v>46053</v>
      </c>
      <c r="F829" s="5">
        <f t="shared" si="1"/>
        <v>6</v>
      </c>
      <c r="G829" s="5">
        <f t="shared" si="2"/>
        <v>5</v>
      </c>
      <c r="H829" s="5" t="str">
        <f t="shared" si="3"/>
        <v>ON TIME</v>
      </c>
      <c r="I829" s="5">
        <f>Raw_Data!F829</f>
        <v>11256</v>
      </c>
      <c r="J829" s="5">
        <f t="shared" si="4"/>
        <v>0</v>
      </c>
    </row>
    <row r="830">
      <c r="A830" s="5" t="str">
        <f>Raw_Data!A830</f>
        <v>TRK100828</v>
      </c>
      <c r="B830" s="5" t="str">
        <f>TRIM(Raw_Data!B830)</f>
        <v>EcomExpress</v>
      </c>
      <c r="C830" s="5" t="str">
        <f>TRIM(Raw_Data!C830)</f>
        <v>Metro</v>
      </c>
      <c r="D830" s="6">
        <f>DATEVALUE(TEXT(Raw_Data!D830, "YYYY-MM-DD"))</f>
        <v>46051</v>
      </c>
      <c r="E830" s="6">
        <f>IF(ISBLANK(Raw_Data!E830), "", DATEVALUE(TEXT(Raw_Data!E830, "YYYY-MM-DD")))</f>
        <v>46054</v>
      </c>
      <c r="F830" s="5">
        <f t="shared" si="1"/>
        <v>2</v>
      </c>
      <c r="G830" s="5">
        <f t="shared" si="2"/>
        <v>2</v>
      </c>
      <c r="H830" s="5" t="str">
        <f t="shared" si="3"/>
        <v>ON TIME</v>
      </c>
      <c r="I830" s="5">
        <f>Raw_Data!F830</f>
        <v>2975</v>
      </c>
      <c r="J830" s="5">
        <f t="shared" si="4"/>
        <v>0</v>
      </c>
    </row>
    <row r="831">
      <c r="A831" s="5" t="str">
        <f>Raw_Data!A831</f>
        <v>TRK100829</v>
      </c>
      <c r="B831" s="5" t="str">
        <f>TRIM(Raw_Data!B831)</f>
        <v>Delhivery</v>
      </c>
      <c r="C831" s="5" t="str">
        <f>TRIM(Raw_Data!C831)</f>
        <v>Tier 2</v>
      </c>
      <c r="D831" s="6">
        <f>DATEVALUE(TEXT(Raw_Data!D831, "YYYY-MM-DD"))</f>
        <v>46053</v>
      </c>
      <c r="E831" s="6">
        <f>IF(ISBLANK(Raw_Data!E831), "", DATEVALUE(TEXT(Raw_Data!E831, "YYYY-MM-DD")))</f>
        <v>46057</v>
      </c>
      <c r="F831" s="5">
        <f t="shared" si="1"/>
        <v>4</v>
      </c>
      <c r="G831" s="5">
        <f t="shared" si="2"/>
        <v>3</v>
      </c>
      <c r="H831" s="5" t="str">
        <f t="shared" si="3"/>
        <v>ON TIME</v>
      </c>
      <c r="I831" s="5">
        <f>Raw_Data!F831</f>
        <v>4110</v>
      </c>
      <c r="J831" s="5">
        <f t="shared" si="4"/>
        <v>0</v>
      </c>
    </row>
    <row r="832">
      <c r="A832" s="5" t="str">
        <f>Raw_Data!A832</f>
        <v>TRK100830</v>
      </c>
      <c r="B832" s="5" t="str">
        <f>TRIM(Raw_Data!B832)</f>
        <v>EcomExpress</v>
      </c>
      <c r="C832" s="5" t="str">
        <f>TRIM(Raw_Data!C832)</f>
        <v>Tier 2</v>
      </c>
      <c r="D832" s="6">
        <f>DATEVALUE(TEXT(Raw_Data!D832, "YYYY-MM-DD"))</f>
        <v>46048</v>
      </c>
      <c r="E832" s="6">
        <f>IF(ISBLANK(Raw_Data!E832), "", DATEVALUE(TEXT(Raw_Data!E832, "YYYY-MM-DD")))</f>
        <v>46052</v>
      </c>
      <c r="F832" s="5">
        <f t="shared" si="1"/>
        <v>4</v>
      </c>
      <c r="G832" s="5">
        <f t="shared" si="2"/>
        <v>5</v>
      </c>
      <c r="H832" s="5" t="str">
        <f t="shared" si="3"/>
        <v>SLA BREACH</v>
      </c>
      <c r="I832" s="5">
        <f>Raw_Data!F832</f>
        <v>4755</v>
      </c>
      <c r="J832" s="5">
        <f t="shared" si="4"/>
        <v>237.75</v>
      </c>
    </row>
    <row r="833">
      <c r="A833" s="5" t="str">
        <f>Raw_Data!A833</f>
        <v>TRK100831</v>
      </c>
      <c r="B833" s="5" t="str">
        <f>TRIM(Raw_Data!B833)</f>
        <v>Delhivery</v>
      </c>
      <c r="C833" s="5" t="str">
        <f>TRIM(Raw_Data!C833)</f>
        <v>Tier 2</v>
      </c>
      <c r="D833" s="6">
        <f>DATEVALUE(TEXT(Raw_Data!D833, "YYYY-MM-DD"))</f>
        <v>46055</v>
      </c>
      <c r="E833" s="6">
        <f>IF(ISBLANK(Raw_Data!E833), "", DATEVALUE(TEXT(Raw_Data!E833, "YYYY-MM-DD")))</f>
        <v>46059</v>
      </c>
      <c r="F833" s="5">
        <f t="shared" si="1"/>
        <v>4</v>
      </c>
      <c r="G833" s="5">
        <f t="shared" si="2"/>
        <v>5</v>
      </c>
      <c r="H833" s="5" t="str">
        <f t="shared" si="3"/>
        <v>SLA BREACH</v>
      </c>
      <c r="I833" s="5">
        <f>Raw_Data!F833</f>
        <v>11515</v>
      </c>
      <c r="J833" s="5">
        <f t="shared" si="4"/>
        <v>575.75</v>
      </c>
    </row>
    <row r="834">
      <c r="A834" s="5" t="str">
        <f>Raw_Data!A834</f>
        <v>TRK100832</v>
      </c>
      <c r="B834" s="5" t="str">
        <f>TRIM(Raw_Data!B834)</f>
        <v>BlueDart</v>
      </c>
      <c r="C834" s="5" t="str">
        <f>TRIM(Raw_Data!C834)</f>
        <v>Metro</v>
      </c>
      <c r="D834" s="6">
        <f>DATEVALUE(TEXT(Raw_Data!D834, "YYYY-MM-DD"))</f>
        <v>46049</v>
      </c>
      <c r="E834" s="6">
        <f>IF(ISBLANK(Raw_Data!E834), "", DATEVALUE(TEXT(Raw_Data!E834, "YYYY-MM-DD")))</f>
        <v>46051</v>
      </c>
      <c r="F834" s="5">
        <f t="shared" si="1"/>
        <v>2</v>
      </c>
      <c r="G834" s="5">
        <f t="shared" si="2"/>
        <v>3</v>
      </c>
      <c r="H834" s="5" t="str">
        <f t="shared" si="3"/>
        <v>SLA BREACH</v>
      </c>
      <c r="I834" s="5">
        <f>Raw_Data!F834</f>
        <v>7897</v>
      </c>
      <c r="J834" s="5">
        <f t="shared" si="4"/>
        <v>394.85</v>
      </c>
    </row>
    <row r="835">
      <c r="A835" s="5" t="str">
        <f>Raw_Data!A835</f>
        <v>TRK100833</v>
      </c>
      <c r="B835" s="5" t="str">
        <f>TRIM(Raw_Data!B835)</f>
        <v>EcomExpress</v>
      </c>
      <c r="C835" s="5" t="str">
        <f>TRIM(Raw_Data!C835)</f>
        <v>Metro</v>
      </c>
      <c r="D835" s="6">
        <f>DATEVALUE(TEXT(Raw_Data!D835, "YYYY-MM-DD"))</f>
        <v>46025</v>
      </c>
      <c r="E835" s="6">
        <f>IF(ISBLANK(Raw_Data!E835), "", DATEVALUE(TEXT(Raw_Data!E835, "YYYY-MM-DD")))</f>
        <v>46027</v>
      </c>
      <c r="F835" s="5">
        <f t="shared" si="1"/>
        <v>2</v>
      </c>
      <c r="G835" s="5">
        <f t="shared" si="2"/>
        <v>1</v>
      </c>
      <c r="H835" s="5" t="str">
        <f t="shared" si="3"/>
        <v>ON TIME</v>
      </c>
      <c r="I835" s="5">
        <f>Raw_Data!F835</f>
        <v>2235</v>
      </c>
      <c r="J835" s="5">
        <f t="shared" si="4"/>
        <v>0</v>
      </c>
    </row>
    <row r="836">
      <c r="A836" s="5" t="str">
        <f>Raw_Data!A836</f>
        <v>TRK100834</v>
      </c>
      <c r="B836" s="5" t="str">
        <f>TRIM(Raw_Data!B836)</f>
        <v>BlueDart</v>
      </c>
      <c r="C836" s="5" t="str">
        <f>TRIM(Raw_Data!C836)</f>
        <v>Tier 2</v>
      </c>
      <c r="D836" s="6">
        <f>DATEVALUE(TEXT(Raw_Data!D836, "YYYY-MM-DD"))</f>
        <v>46046</v>
      </c>
      <c r="E836" s="6">
        <f>IF(ISBLANK(Raw_Data!E836), "", DATEVALUE(TEXT(Raw_Data!E836, "YYYY-MM-DD")))</f>
        <v>46050</v>
      </c>
      <c r="F836" s="5">
        <f t="shared" si="1"/>
        <v>4</v>
      </c>
      <c r="G836" s="5">
        <f t="shared" si="2"/>
        <v>3</v>
      </c>
      <c r="H836" s="5" t="str">
        <f t="shared" si="3"/>
        <v>ON TIME</v>
      </c>
      <c r="I836" s="5">
        <f>Raw_Data!F836</f>
        <v>10277</v>
      </c>
      <c r="J836" s="5">
        <f t="shared" si="4"/>
        <v>0</v>
      </c>
    </row>
    <row r="837">
      <c r="A837" s="5" t="str">
        <f>Raw_Data!A837</f>
        <v>TRK100835</v>
      </c>
      <c r="B837" s="5" t="str">
        <f>TRIM(Raw_Data!B837)</f>
        <v>EcomExpress</v>
      </c>
      <c r="C837" s="5" t="str">
        <f>TRIM(Raw_Data!C837)</f>
        <v>Tier 2</v>
      </c>
      <c r="D837" s="6">
        <f>DATEVALUE(TEXT(Raw_Data!D837, "YYYY-MM-DD"))</f>
        <v>46080</v>
      </c>
      <c r="E837" s="6">
        <f>IF(ISBLANK(Raw_Data!E837), "", DATEVALUE(TEXT(Raw_Data!E837, "YYYY-MM-DD")))</f>
        <v>46084</v>
      </c>
      <c r="F837" s="5">
        <f t="shared" si="1"/>
        <v>4</v>
      </c>
      <c r="G837" s="5">
        <f t="shared" si="2"/>
        <v>3</v>
      </c>
      <c r="H837" s="5" t="str">
        <f t="shared" si="3"/>
        <v>ON TIME</v>
      </c>
      <c r="I837" s="5">
        <f>Raw_Data!F837</f>
        <v>8758</v>
      </c>
      <c r="J837" s="5">
        <f t="shared" si="4"/>
        <v>0</v>
      </c>
    </row>
    <row r="838">
      <c r="A838" s="5" t="str">
        <f>Raw_Data!A838</f>
        <v>TRK100836</v>
      </c>
      <c r="B838" s="5" t="str">
        <f>TRIM(Raw_Data!B838)</f>
        <v>BlueDart</v>
      </c>
      <c r="C838" s="5" t="str">
        <f>TRIM(Raw_Data!C838)</f>
        <v>Metro</v>
      </c>
      <c r="D838" s="6">
        <f>DATEVALUE(TEXT(Raw_Data!D838, "YYYY-MM-DD"))</f>
        <v>46057</v>
      </c>
      <c r="E838" s="6">
        <f>IF(ISBLANK(Raw_Data!E838), "", DATEVALUE(TEXT(Raw_Data!E838, "YYYY-MM-DD")))</f>
        <v>46061</v>
      </c>
      <c r="F838" s="5">
        <f t="shared" si="1"/>
        <v>2</v>
      </c>
      <c r="G838" s="5">
        <f t="shared" si="2"/>
        <v>3</v>
      </c>
      <c r="H838" s="5" t="str">
        <f t="shared" si="3"/>
        <v>SLA BREACH</v>
      </c>
      <c r="I838" s="5">
        <f>Raw_Data!F838</f>
        <v>11753</v>
      </c>
      <c r="J838" s="5">
        <f t="shared" si="4"/>
        <v>587.65</v>
      </c>
    </row>
    <row r="839">
      <c r="A839" s="5" t="str">
        <f>Raw_Data!A839</f>
        <v>TRK100837</v>
      </c>
      <c r="B839" s="5" t="str">
        <f>TRIM(Raw_Data!B839)</f>
        <v>Delhivery</v>
      </c>
      <c r="C839" s="5" t="str">
        <f>TRIM(Raw_Data!C839)</f>
        <v>Tier 3</v>
      </c>
      <c r="D839" s="6">
        <f>DATEVALUE(TEXT(Raw_Data!D839, "YYYY-MM-DD"))</f>
        <v>46063</v>
      </c>
      <c r="E839" s="6">
        <f>IF(ISBLANK(Raw_Data!E839), "", DATEVALUE(TEXT(Raw_Data!E839, "YYYY-MM-DD")))</f>
        <v>46069</v>
      </c>
      <c r="F839" s="5">
        <f t="shared" si="1"/>
        <v>6</v>
      </c>
      <c r="G839" s="5">
        <f t="shared" si="2"/>
        <v>5</v>
      </c>
      <c r="H839" s="5" t="str">
        <f t="shared" si="3"/>
        <v>ON TIME</v>
      </c>
      <c r="I839" s="5">
        <f>Raw_Data!F839</f>
        <v>8479</v>
      </c>
      <c r="J839" s="5">
        <f t="shared" si="4"/>
        <v>0</v>
      </c>
    </row>
    <row r="840">
      <c r="A840" s="5" t="str">
        <f>Raw_Data!A840</f>
        <v>TRK100838</v>
      </c>
      <c r="B840" s="5" t="str">
        <f>TRIM(Raw_Data!B840)</f>
        <v>EcomExpress</v>
      </c>
      <c r="C840" s="5" t="str">
        <f>TRIM(Raw_Data!C840)</f>
        <v>Metro</v>
      </c>
      <c r="D840" s="6">
        <f>DATEVALUE(TEXT(Raw_Data!D840, "YYYY-MM-DD"))</f>
        <v>46029</v>
      </c>
      <c r="E840" s="6" t="str">
        <f>IF(ISBLANK(Raw_Data!E840), "", DATEVALUE(TEXT(Raw_Data!E840, "YYYY-MM-DD")))</f>
        <v/>
      </c>
      <c r="F840" s="5">
        <f t="shared" si="1"/>
        <v>2</v>
      </c>
      <c r="G840" s="5" t="str">
        <f t="shared" si="2"/>
        <v>In-Transit</v>
      </c>
      <c r="H840" s="5" t="str">
        <f t="shared" si="3"/>
        <v>Pending</v>
      </c>
      <c r="I840" s="5">
        <f>Raw_Data!F840</f>
        <v>2928</v>
      </c>
      <c r="J840" s="5">
        <f t="shared" si="4"/>
        <v>0</v>
      </c>
    </row>
    <row r="841">
      <c r="A841" s="5" t="str">
        <f>Raw_Data!A841</f>
        <v>TRK100839</v>
      </c>
      <c r="B841" s="5" t="str">
        <f>TRIM(Raw_Data!B841)</f>
        <v>EcomExpress</v>
      </c>
      <c r="C841" s="5" t="str">
        <f>TRIM(Raw_Data!C841)</f>
        <v>Tier 3</v>
      </c>
      <c r="D841" s="6">
        <f>DATEVALUE(TEXT(Raw_Data!D841, "YYYY-MM-DD"))</f>
        <v>46038</v>
      </c>
      <c r="E841" s="6">
        <f>IF(ISBLANK(Raw_Data!E841), "", DATEVALUE(TEXT(Raw_Data!E841, "YYYY-MM-DD")))</f>
        <v>46044</v>
      </c>
      <c r="F841" s="5">
        <f t="shared" si="1"/>
        <v>6</v>
      </c>
      <c r="G841" s="5">
        <f t="shared" si="2"/>
        <v>5</v>
      </c>
      <c r="H841" s="5" t="str">
        <f t="shared" si="3"/>
        <v>ON TIME</v>
      </c>
      <c r="I841" s="5">
        <f>Raw_Data!F841</f>
        <v>7926</v>
      </c>
      <c r="J841" s="5">
        <f t="shared" si="4"/>
        <v>0</v>
      </c>
    </row>
    <row r="842">
      <c r="A842" s="5" t="str">
        <f>Raw_Data!A842</f>
        <v>TRK100840</v>
      </c>
      <c r="B842" s="5" t="str">
        <f>TRIM(Raw_Data!B842)</f>
        <v>BlueDart</v>
      </c>
      <c r="C842" s="5" t="str">
        <f>TRIM(Raw_Data!C842)</f>
        <v>Tier 3</v>
      </c>
      <c r="D842" s="6">
        <f>DATEVALUE(TEXT(Raw_Data!D842, "YYYY-MM-DD"))</f>
        <v>46065</v>
      </c>
      <c r="E842" s="6">
        <f>IF(ISBLANK(Raw_Data!E842), "", DATEVALUE(TEXT(Raw_Data!E842, "YYYY-MM-DD")))</f>
        <v>46071</v>
      </c>
      <c r="F842" s="5">
        <f t="shared" si="1"/>
        <v>6</v>
      </c>
      <c r="G842" s="5">
        <f t="shared" si="2"/>
        <v>5</v>
      </c>
      <c r="H842" s="5" t="str">
        <f t="shared" si="3"/>
        <v>ON TIME</v>
      </c>
      <c r="I842" s="5">
        <f>Raw_Data!F842</f>
        <v>9033</v>
      </c>
      <c r="J842" s="5">
        <f t="shared" si="4"/>
        <v>0</v>
      </c>
    </row>
    <row r="843">
      <c r="A843" s="5" t="str">
        <f>Raw_Data!A843</f>
        <v>TRK100841</v>
      </c>
      <c r="B843" s="5" t="str">
        <f>TRIM(Raw_Data!B843)</f>
        <v>Delhivery</v>
      </c>
      <c r="C843" s="5" t="str">
        <f>TRIM(Raw_Data!C843)</f>
        <v>Tier 3</v>
      </c>
      <c r="D843" s="6">
        <f>DATEVALUE(TEXT(Raw_Data!D843, "YYYY-MM-DD"))</f>
        <v>46033</v>
      </c>
      <c r="E843" s="6">
        <f>IF(ISBLANK(Raw_Data!E843), "", DATEVALUE(TEXT(Raw_Data!E843, "YYYY-MM-DD")))</f>
        <v>46039</v>
      </c>
      <c r="F843" s="5">
        <f t="shared" si="1"/>
        <v>6</v>
      </c>
      <c r="G843" s="5">
        <f t="shared" si="2"/>
        <v>5</v>
      </c>
      <c r="H843" s="5" t="str">
        <f t="shared" si="3"/>
        <v>ON TIME</v>
      </c>
      <c r="I843" s="5">
        <f>Raw_Data!F843</f>
        <v>5749</v>
      </c>
      <c r="J843" s="5">
        <f t="shared" si="4"/>
        <v>0</v>
      </c>
    </row>
    <row r="844">
      <c r="A844" s="5" t="str">
        <f>Raw_Data!A844</f>
        <v>TRK100842</v>
      </c>
      <c r="B844" s="5" t="str">
        <f>TRIM(Raw_Data!B844)</f>
        <v>BlueDart</v>
      </c>
      <c r="C844" s="5" t="str">
        <f>TRIM(Raw_Data!C844)</f>
        <v>Tier 2</v>
      </c>
      <c r="D844" s="6">
        <f>DATEVALUE(TEXT(Raw_Data!D844, "YYYY-MM-DD"))</f>
        <v>46062</v>
      </c>
      <c r="E844" s="6">
        <f>IF(ISBLANK(Raw_Data!E844), "", DATEVALUE(TEXT(Raw_Data!E844, "YYYY-MM-DD")))</f>
        <v>46066</v>
      </c>
      <c r="F844" s="5">
        <f t="shared" si="1"/>
        <v>4</v>
      </c>
      <c r="G844" s="5">
        <f t="shared" si="2"/>
        <v>5</v>
      </c>
      <c r="H844" s="5" t="str">
        <f t="shared" si="3"/>
        <v>SLA BREACH</v>
      </c>
      <c r="I844" s="5">
        <f>Raw_Data!F844</f>
        <v>11466</v>
      </c>
      <c r="J844" s="5">
        <f t="shared" si="4"/>
        <v>573.3</v>
      </c>
    </row>
    <row r="845">
      <c r="A845" s="5" t="str">
        <f>Raw_Data!A845</f>
        <v>TRK100843</v>
      </c>
      <c r="B845" s="5" t="str">
        <f>TRIM(Raw_Data!B845)</f>
        <v>BlueDart</v>
      </c>
      <c r="C845" s="5" t="str">
        <f>TRIM(Raw_Data!C845)</f>
        <v>Tier 2</v>
      </c>
      <c r="D845" s="6">
        <f>DATEVALUE(TEXT(Raw_Data!D845, "YYYY-MM-DD"))</f>
        <v>46059</v>
      </c>
      <c r="E845" s="6">
        <f>IF(ISBLANK(Raw_Data!E845), "", DATEVALUE(TEXT(Raw_Data!E845, "YYYY-MM-DD")))</f>
        <v>46066</v>
      </c>
      <c r="F845" s="5">
        <f t="shared" si="1"/>
        <v>4</v>
      </c>
      <c r="G845" s="5">
        <f t="shared" si="2"/>
        <v>6</v>
      </c>
      <c r="H845" s="5" t="str">
        <f t="shared" si="3"/>
        <v>SLA BREACH</v>
      </c>
      <c r="I845" s="5">
        <f>Raw_Data!F845</f>
        <v>5791</v>
      </c>
      <c r="J845" s="5">
        <f t="shared" si="4"/>
        <v>289.55</v>
      </c>
    </row>
    <row r="846">
      <c r="A846" s="5" t="str">
        <f>Raw_Data!A846</f>
        <v>TRK100844</v>
      </c>
      <c r="B846" s="5" t="str">
        <f>TRIM(Raw_Data!B846)</f>
        <v>Delhivery</v>
      </c>
      <c r="C846" s="5" t="str">
        <f>TRIM(Raw_Data!C846)</f>
        <v>Tier 3</v>
      </c>
      <c r="D846" s="6">
        <f>DATEVALUE(TEXT(Raw_Data!D846, "YYYY-MM-DD"))</f>
        <v>46066</v>
      </c>
      <c r="E846" s="6">
        <f>IF(ISBLANK(Raw_Data!E846), "", DATEVALUE(TEXT(Raw_Data!E846, "YYYY-MM-DD")))</f>
        <v>46072</v>
      </c>
      <c r="F846" s="5">
        <f t="shared" si="1"/>
        <v>6</v>
      </c>
      <c r="G846" s="5">
        <f t="shared" si="2"/>
        <v>5</v>
      </c>
      <c r="H846" s="5" t="str">
        <f t="shared" si="3"/>
        <v>ON TIME</v>
      </c>
      <c r="I846" s="5">
        <f>Raw_Data!F846</f>
        <v>3317</v>
      </c>
      <c r="J846" s="5">
        <f t="shared" si="4"/>
        <v>0</v>
      </c>
    </row>
    <row r="847">
      <c r="A847" s="5" t="str">
        <f>Raw_Data!A847</f>
        <v>TRK100845</v>
      </c>
      <c r="B847" s="5" t="str">
        <f>TRIM(Raw_Data!B847)</f>
        <v>BlueDart</v>
      </c>
      <c r="C847" s="5" t="str">
        <f>TRIM(Raw_Data!C847)</f>
        <v>Tier 3</v>
      </c>
      <c r="D847" s="6">
        <f>DATEVALUE(TEXT(Raw_Data!D847, "YYYY-MM-DD"))</f>
        <v>46048</v>
      </c>
      <c r="E847" s="6">
        <f>IF(ISBLANK(Raw_Data!E847), "", DATEVALUE(TEXT(Raw_Data!E847, "YYYY-MM-DD")))</f>
        <v>46054</v>
      </c>
      <c r="F847" s="5">
        <f t="shared" si="1"/>
        <v>6</v>
      </c>
      <c r="G847" s="5">
        <f t="shared" si="2"/>
        <v>5</v>
      </c>
      <c r="H847" s="5" t="str">
        <f t="shared" si="3"/>
        <v>ON TIME</v>
      </c>
      <c r="I847" s="5">
        <f>Raw_Data!F847</f>
        <v>11353</v>
      </c>
      <c r="J847" s="5">
        <f t="shared" si="4"/>
        <v>0</v>
      </c>
    </row>
    <row r="848">
      <c r="A848" s="5" t="str">
        <f>Raw_Data!A848</f>
        <v>TRK100846</v>
      </c>
      <c r="B848" s="5" t="str">
        <f>TRIM(Raw_Data!B848)</f>
        <v>BlueDart</v>
      </c>
      <c r="C848" s="5" t="str">
        <f>TRIM(Raw_Data!C848)</f>
        <v>Tier 3</v>
      </c>
      <c r="D848" s="6">
        <f>DATEVALUE(TEXT(Raw_Data!D848, "YYYY-MM-DD"))</f>
        <v>46044</v>
      </c>
      <c r="E848" s="6">
        <f>IF(ISBLANK(Raw_Data!E848), "", DATEVALUE(TEXT(Raw_Data!E848, "YYYY-MM-DD")))</f>
        <v>46050</v>
      </c>
      <c r="F848" s="5">
        <f t="shared" si="1"/>
        <v>6</v>
      </c>
      <c r="G848" s="5">
        <f t="shared" si="2"/>
        <v>5</v>
      </c>
      <c r="H848" s="5" t="str">
        <f t="shared" si="3"/>
        <v>ON TIME</v>
      </c>
      <c r="I848" s="5">
        <f>Raw_Data!F848</f>
        <v>9924</v>
      </c>
      <c r="J848" s="5">
        <f t="shared" si="4"/>
        <v>0</v>
      </c>
    </row>
    <row r="849">
      <c r="A849" s="5" t="str">
        <f>Raw_Data!A849</f>
        <v>TRK100847</v>
      </c>
      <c r="B849" s="5" t="str">
        <f>TRIM(Raw_Data!B849)</f>
        <v>EcomExpress</v>
      </c>
      <c r="C849" s="5" t="str">
        <f>TRIM(Raw_Data!C849)</f>
        <v>Metro</v>
      </c>
      <c r="D849" s="6">
        <f>DATEVALUE(TEXT(Raw_Data!D849, "YYYY-MM-DD"))</f>
        <v>46050</v>
      </c>
      <c r="E849" s="6">
        <f>IF(ISBLANK(Raw_Data!E849), "", DATEVALUE(TEXT(Raw_Data!E849, "YYYY-MM-DD")))</f>
        <v>46057</v>
      </c>
      <c r="F849" s="5">
        <f t="shared" si="1"/>
        <v>2</v>
      </c>
      <c r="G849" s="5">
        <f t="shared" si="2"/>
        <v>6</v>
      </c>
      <c r="H849" s="5" t="str">
        <f t="shared" si="3"/>
        <v>SLA BREACH</v>
      </c>
      <c r="I849" s="5">
        <f>Raw_Data!F849</f>
        <v>4374</v>
      </c>
      <c r="J849" s="5">
        <f t="shared" si="4"/>
        <v>218.7</v>
      </c>
    </row>
    <row r="850">
      <c r="A850" s="5" t="str">
        <f>Raw_Data!A850</f>
        <v>TRK100848</v>
      </c>
      <c r="B850" s="5" t="str">
        <f>TRIM(Raw_Data!B850)</f>
        <v>BlueDart</v>
      </c>
      <c r="C850" s="5" t="str">
        <f>TRIM(Raw_Data!C850)</f>
        <v>Tier 2</v>
      </c>
      <c r="D850" s="6">
        <f>DATEVALUE(TEXT(Raw_Data!D850, "YYYY-MM-DD"))</f>
        <v>46023</v>
      </c>
      <c r="E850" s="6">
        <f>IF(ISBLANK(Raw_Data!E850), "", DATEVALUE(TEXT(Raw_Data!E850, "YYYY-MM-DD")))</f>
        <v>46027</v>
      </c>
      <c r="F850" s="5">
        <f t="shared" si="1"/>
        <v>4</v>
      </c>
      <c r="G850" s="5">
        <f t="shared" si="2"/>
        <v>3</v>
      </c>
      <c r="H850" s="5" t="str">
        <f t="shared" si="3"/>
        <v>ON TIME</v>
      </c>
      <c r="I850" s="5">
        <f>Raw_Data!F850</f>
        <v>11093</v>
      </c>
      <c r="J850" s="5">
        <f t="shared" si="4"/>
        <v>0</v>
      </c>
    </row>
    <row r="851">
      <c r="A851" s="5" t="str">
        <f>Raw_Data!A851</f>
        <v>TRK100849</v>
      </c>
      <c r="B851" s="5" t="str">
        <f>TRIM(Raw_Data!B851)</f>
        <v>EcomExpress</v>
      </c>
      <c r="C851" s="5" t="str">
        <f>TRIM(Raw_Data!C851)</f>
        <v>Tier 3</v>
      </c>
      <c r="D851" s="6">
        <f>DATEVALUE(TEXT(Raw_Data!D851, "YYYY-MM-DD"))</f>
        <v>46039</v>
      </c>
      <c r="E851" s="6">
        <f>IF(ISBLANK(Raw_Data!E851), "", DATEVALUE(TEXT(Raw_Data!E851, "YYYY-MM-DD")))</f>
        <v>46045</v>
      </c>
      <c r="F851" s="5">
        <f t="shared" si="1"/>
        <v>6</v>
      </c>
      <c r="G851" s="5">
        <f t="shared" si="2"/>
        <v>5</v>
      </c>
      <c r="H851" s="5" t="str">
        <f t="shared" si="3"/>
        <v>ON TIME</v>
      </c>
      <c r="I851" s="5">
        <f>Raw_Data!F851</f>
        <v>10186</v>
      </c>
      <c r="J851" s="5">
        <f t="shared" si="4"/>
        <v>0</v>
      </c>
    </row>
    <row r="852">
      <c r="A852" s="5" t="str">
        <f>Raw_Data!A852</f>
        <v>TRK100850</v>
      </c>
      <c r="B852" s="5" t="str">
        <f>TRIM(Raw_Data!B852)</f>
        <v>Delhivery</v>
      </c>
      <c r="C852" s="5" t="str">
        <f>TRIM(Raw_Data!C852)</f>
        <v>Tier 3</v>
      </c>
      <c r="D852" s="6">
        <f>DATEVALUE(TEXT(Raw_Data!D852, "YYYY-MM-DD"))</f>
        <v>46055</v>
      </c>
      <c r="E852" s="6">
        <f>IF(ISBLANK(Raw_Data!E852), "", DATEVALUE(TEXT(Raw_Data!E852, "YYYY-MM-DD")))</f>
        <v>46061</v>
      </c>
      <c r="F852" s="5">
        <f t="shared" si="1"/>
        <v>6</v>
      </c>
      <c r="G852" s="5">
        <f t="shared" si="2"/>
        <v>5</v>
      </c>
      <c r="H852" s="5" t="str">
        <f t="shared" si="3"/>
        <v>ON TIME</v>
      </c>
      <c r="I852" s="5">
        <f>Raw_Data!F852</f>
        <v>4711</v>
      </c>
      <c r="J852" s="5">
        <f t="shared" si="4"/>
        <v>0</v>
      </c>
    </row>
    <row r="853">
      <c r="A853" s="5" t="str">
        <f>Raw_Data!A853</f>
        <v>TRK100851</v>
      </c>
      <c r="B853" s="5" t="str">
        <f>TRIM(Raw_Data!B853)</f>
        <v>BlueDart</v>
      </c>
      <c r="C853" s="5" t="str">
        <f>TRIM(Raw_Data!C853)</f>
        <v>Metro</v>
      </c>
      <c r="D853" s="6">
        <f>DATEVALUE(TEXT(Raw_Data!D853, "YYYY-MM-DD"))</f>
        <v>46056</v>
      </c>
      <c r="E853" s="6">
        <f>IF(ISBLANK(Raw_Data!E853), "", DATEVALUE(TEXT(Raw_Data!E853, "YYYY-MM-DD")))</f>
        <v>46059</v>
      </c>
      <c r="F853" s="5">
        <f t="shared" si="1"/>
        <v>2</v>
      </c>
      <c r="G853" s="5">
        <f t="shared" si="2"/>
        <v>4</v>
      </c>
      <c r="H853" s="5" t="str">
        <f t="shared" si="3"/>
        <v>SLA BREACH</v>
      </c>
      <c r="I853" s="5">
        <f>Raw_Data!F853</f>
        <v>1161</v>
      </c>
      <c r="J853" s="5">
        <f t="shared" si="4"/>
        <v>58.05</v>
      </c>
    </row>
    <row r="854">
      <c r="A854" s="5" t="str">
        <f>Raw_Data!A854</f>
        <v>TRK100852</v>
      </c>
      <c r="B854" s="5" t="str">
        <f>TRIM(Raw_Data!B854)</f>
        <v>Delhivery</v>
      </c>
      <c r="C854" s="5" t="str">
        <f>TRIM(Raw_Data!C854)</f>
        <v>Tier 2</v>
      </c>
      <c r="D854" s="6">
        <f>DATEVALUE(TEXT(Raw_Data!D854, "YYYY-MM-DD"))</f>
        <v>46060</v>
      </c>
      <c r="E854" s="6">
        <f>IF(ISBLANK(Raw_Data!E854), "", DATEVALUE(TEXT(Raw_Data!E854, "YYYY-MM-DD")))</f>
        <v>46064</v>
      </c>
      <c r="F854" s="5">
        <f t="shared" si="1"/>
        <v>4</v>
      </c>
      <c r="G854" s="5">
        <f t="shared" si="2"/>
        <v>3</v>
      </c>
      <c r="H854" s="5" t="str">
        <f t="shared" si="3"/>
        <v>ON TIME</v>
      </c>
      <c r="I854" s="5">
        <f>Raw_Data!F854</f>
        <v>10560</v>
      </c>
      <c r="J854" s="5">
        <f t="shared" si="4"/>
        <v>0</v>
      </c>
    </row>
    <row r="855">
      <c r="A855" s="5" t="str">
        <f>Raw_Data!A855</f>
        <v>TRK100853</v>
      </c>
      <c r="B855" s="5" t="str">
        <f>TRIM(Raw_Data!B855)</f>
        <v>EcomExpress</v>
      </c>
      <c r="C855" s="5" t="str">
        <f>TRIM(Raw_Data!C855)</f>
        <v>Tier 3</v>
      </c>
      <c r="D855" s="6">
        <f>DATEVALUE(TEXT(Raw_Data!D855, "YYYY-MM-DD"))</f>
        <v>46059</v>
      </c>
      <c r="E855" s="6">
        <f>IF(ISBLANK(Raw_Data!E855), "", DATEVALUE(TEXT(Raw_Data!E855, "YYYY-MM-DD")))</f>
        <v>46067</v>
      </c>
      <c r="F855" s="5">
        <f t="shared" si="1"/>
        <v>6</v>
      </c>
      <c r="G855" s="5">
        <f t="shared" si="2"/>
        <v>6</v>
      </c>
      <c r="H855" s="5" t="str">
        <f t="shared" si="3"/>
        <v>ON TIME</v>
      </c>
      <c r="I855" s="5">
        <f>Raw_Data!F855</f>
        <v>11026</v>
      </c>
      <c r="J855" s="5">
        <f t="shared" si="4"/>
        <v>0</v>
      </c>
    </row>
    <row r="856">
      <c r="A856" s="5" t="str">
        <f>Raw_Data!A856</f>
        <v>TRK100854</v>
      </c>
      <c r="B856" s="5" t="str">
        <f>TRIM(Raw_Data!B856)</f>
        <v>EcomExpress</v>
      </c>
      <c r="C856" s="5" t="str">
        <f>TRIM(Raw_Data!C856)</f>
        <v>Tier 2</v>
      </c>
      <c r="D856" s="6">
        <f>DATEVALUE(TEXT(Raw_Data!D856, "YYYY-MM-DD"))</f>
        <v>46051</v>
      </c>
      <c r="E856" s="6">
        <f>IF(ISBLANK(Raw_Data!E856), "", DATEVALUE(TEXT(Raw_Data!E856, "YYYY-MM-DD")))</f>
        <v>46055</v>
      </c>
      <c r="F856" s="5">
        <f t="shared" si="1"/>
        <v>4</v>
      </c>
      <c r="G856" s="5">
        <f t="shared" si="2"/>
        <v>3</v>
      </c>
      <c r="H856" s="5" t="str">
        <f t="shared" si="3"/>
        <v>ON TIME</v>
      </c>
      <c r="I856" s="5">
        <f>Raw_Data!F856</f>
        <v>3874</v>
      </c>
      <c r="J856" s="5">
        <f t="shared" si="4"/>
        <v>0</v>
      </c>
    </row>
    <row r="857">
      <c r="A857" s="5" t="str">
        <f>Raw_Data!A857</f>
        <v>TRK100855</v>
      </c>
      <c r="B857" s="5" t="str">
        <f>TRIM(Raw_Data!B857)</f>
        <v>EcomExpress</v>
      </c>
      <c r="C857" s="5" t="str">
        <f>TRIM(Raw_Data!C857)</f>
        <v>Tier 3</v>
      </c>
      <c r="D857" s="6">
        <f>DATEVALUE(TEXT(Raw_Data!D857, "YYYY-MM-DD"))</f>
        <v>46048</v>
      </c>
      <c r="E857" s="6" t="str">
        <f>IF(ISBLANK(Raw_Data!E857), "", DATEVALUE(TEXT(Raw_Data!E857, "YYYY-MM-DD")))</f>
        <v/>
      </c>
      <c r="F857" s="5">
        <f t="shared" si="1"/>
        <v>6</v>
      </c>
      <c r="G857" s="5" t="str">
        <f t="shared" si="2"/>
        <v>In-Transit</v>
      </c>
      <c r="H857" s="5" t="str">
        <f t="shared" si="3"/>
        <v>Pending</v>
      </c>
      <c r="I857" s="5">
        <f>Raw_Data!F857</f>
        <v>9708</v>
      </c>
      <c r="J857" s="5">
        <f t="shared" si="4"/>
        <v>0</v>
      </c>
    </row>
    <row r="858">
      <c r="A858" s="5" t="str">
        <f>Raw_Data!A858</f>
        <v>TRK100856</v>
      </c>
      <c r="B858" s="5" t="str">
        <f>TRIM(Raw_Data!B858)</f>
        <v>BlueDart</v>
      </c>
      <c r="C858" s="5" t="str">
        <f>TRIM(Raw_Data!C858)</f>
        <v>Metro</v>
      </c>
      <c r="D858" s="6">
        <f>DATEVALUE(TEXT(Raw_Data!D858, "YYYY-MM-DD"))</f>
        <v>46072</v>
      </c>
      <c r="E858" s="6">
        <f>IF(ISBLANK(Raw_Data!E858), "", DATEVALUE(TEXT(Raw_Data!E858, "YYYY-MM-DD")))</f>
        <v>46074</v>
      </c>
      <c r="F858" s="5">
        <f t="shared" si="1"/>
        <v>2</v>
      </c>
      <c r="G858" s="5">
        <f t="shared" si="2"/>
        <v>2</v>
      </c>
      <c r="H858" s="5" t="str">
        <f t="shared" si="3"/>
        <v>ON TIME</v>
      </c>
      <c r="I858" s="5">
        <f>Raw_Data!F858</f>
        <v>707</v>
      </c>
      <c r="J858" s="5">
        <f t="shared" si="4"/>
        <v>0</v>
      </c>
    </row>
    <row r="859">
      <c r="A859" s="5" t="str">
        <f>Raw_Data!A859</f>
        <v>TRK100857</v>
      </c>
      <c r="B859" s="5" t="str">
        <f>TRIM(Raw_Data!B859)</f>
        <v>EcomExpress</v>
      </c>
      <c r="C859" s="5" t="str">
        <f>TRIM(Raw_Data!C859)</f>
        <v>Metro</v>
      </c>
      <c r="D859" s="6">
        <f>DATEVALUE(TEXT(Raw_Data!D859, "YYYY-MM-DD"))</f>
        <v>46060</v>
      </c>
      <c r="E859" s="6">
        <f>IF(ISBLANK(Raw_Data!E859), "", DATEVALUE(TEXT(Raw_Data!E859, "YYYY-MM-DD")))</f>
        <v>46062</v>
      </c>
      <c r="F859" s="5">
        <f t="shared" si="1"/>
        <v>2</v>
      </c>
      <c r="G859" s="5">
        <f t="shared" si="2"/>
        <v>1</v>
      </c>
      <c r="H859" s="5" t="str">
        <f t="shared" si="3"/>
        <v>ON TIME</v>
      </c>
      <c r="I859" s="5">
        <f>Raw_Data!F859</f>
        <v>3165</v>
      </c>
      <c r="J859" s="5">
        <f t="shared" si="4"/>
        <v>0</v>
      </c>
    </row>
    <row r="860">
      <c r="A860" s="5" t="str">
        <f>Raw_Data!A860</f>
        <v>TRK100858</v>
      </c>
      <c r="B860" s="5" t="str">
        <f>TRIM(Raw_Data!B860)</f>
        <v>EcomExpress</v>
      </c>
      <c r="C860" s="5" t="str">
        <f>TRIM(Raw_Data!C860)</f>
        <v>Tier 2</v>
      </c>
      <c r="D860" s="6">
        <f>DATEVALUE(TEXT(Raw_Data!D860, "YYYY-MM-DD"))</f>
        <v>46055</v>
      </c>
      <c r="E860" s="6">
        <f>IF(ISBLANK(Raw_Data!E860), "", DATEVALUE(TEXT(Raw_Data!E860, "YYYY-MM-DD")))</f>
        <v>46059</v>
      </c>
      <c r="F860" s="5">
        <f t="shared" si="1"/>
        <v>4</v>
      </c>
      <c r="G860" s="5">
        <f t="shared" si="2"/>
        <v>5</v>
      </c>
      <c r="H860" s="5" t="str">
        <f t="shared" si="3"/>
        <v>SLA BREACH</v>
      </c>
      <c r="I860" s="5">
        <f>Raw_Data!F860</f>
        <v>2993</v>
      </c>
      <c r="J860" s="5">
        <f t="shared" si="4"/>
        <v>149.65</v>
      </c>
    </row>
    <row r="861">
      <c r="A861" s="5" t="str">
        <f>Raw_Data!A861</f>
        <v>TRK100859</v>
      </c>
      <c r="B861" s="5" t="str">
        <f>TRIM(Raw_Data!B861)</f>
        <v>BlueDart</v>
      </c>
      <c r="C861" s="5" t="str">
        <f>TRIM(Raw_Data!C861)</f>
        <v>Metro</v>
      </c>
      <c r="D861" s="6">
        <f>DATEVALUE(TEXT(Raw_Data!D861, "YYYY-MM-DD"))</f>
        <v>46045</v>
      </c>
      <c r="E861" s="6">
        <f>IF(ISBLANK(Raw_Data!E861), "", DATEVALUE(TEXT(Raw_Data!E861, "YYYY-MM-DD")))</f>
        <v>46047</v>
      </c>
      <c r="F861" s="5">
        <f t="shared" si="1"/>
        <v>2</v>
      </c>
      <c r="G861" s="5">
        <f t="shared" si="2"/>
        <v>1</v>
      </c>
      <c r="H861" s="5" t="str">
        <f t="shared" si="3"/>
        <v>ON TIME</v>
      </c>
      <c r="I861" s="5">
        <f>Raw_Data!F861</f>
        <v>7313</v>
      </c>
      <c r="J861" s="5">
        <f t="shared" si="4"/>
        <v>0</v>
      </c>
    </row>
    <row r="862">
      <c r="A862" s="5" t="str">
        <f>Raw_Data!A862</f>
        <v>TRK100860</v>
      </c>
      <c r="B862" s="5" t="str">
        <f>TRIM(Raw_Data!B862)</f>
        <v>BlueDart</v>
      </c>
      <c r="C862" s="5" t="str">
        <f>TRIM(Raw_Data!C862)</f>
        <v>Tier 2</v>
      </c>
      <c r="D862" s="6">
        <f>DATEVALUE(TEXT(Raw_Data!D862, "YYYY-MM-DD"))</f>
        <v>46053</v>
      </c>
      <c r="E862" s="6">
        <f>IF(ISBLANK(Raw_Data!E862), "", DATEVALUE(TEXT(Raw_Data!E862, "YYYY-MM-DD")))</f>
        <v>46058</v>
      </c>
      <c r="F862" s="5">
        <f t="shared" si="1"/>
        <v>4</v>
      </c>
      <c r="G862" s="5">
        <f t="shared" si="2"/>
        <v>4</v>
      </c>
      <c r="H862" s="5" t="str">
        <f t="shared" si="3"/>
        <v>ON TIME</v>
      </c>
      <c r="I862" s="5">
        <f>Raw_Data!F862</f>
        <v>1132</v>
      </c>
      <c r="J862" s="5">
        <f t="shared" si="4"/>
        <v>0</v>
      </c>
    </row>
    <row r="863">
      <c r="A863" s="5" t="str">
        <f>Raw_Data!A863</f>
        <v>TRK100861</v>
      </c>
      <c r="B863" s="5" t="str">
        <f>TRIM(Raw_Data!B863)</f>
        <v>BlueDart</v>
      </c>
      <c r="C863" s="5" t="str">
        <f>TRIM(Raw_Data!C863)</f>
        <v>Tier 3</v>
      </c>
      <c r="D863" s="6">
        <f>DATEVALUE(TEXT(Raw_Data!D863, "YYYY-MM-DD"))</f>
        <v>46041</v>
      </c>
      <c r="E863" s="6">
        <f>IF(ISBLANK(Raw_Data!E863), "", DATEVALUE(TEXT(Raw_Data!E863, "YYYY-MM-DD")))</f>
        <v>46047</v>
      </c>
      <c r="F863" s="5">
        <f t="shared" si="1"/>
        <v>6</v>
      </c>
      <c r="G863" s="5">
        <f t="shared" si="2"/>
        <v>5</v>
      </c>
      <c r="H863" s="5" t="str">
        <f t="shared" si="3"/>
        <v>ON TIME</v>
      </c>
      <c r="I863" s="5">
        <f>Raw_Data!F863</f>
        <v>10794</v>
      </c>
      <c r="J863" s="5">
        <f t="shared" si="4"/>
        <v>0</v>
      </c>
    </row>
    <row r="864">
      <c r="A864" s="5" t="str">
        <f>Raw_Data!A864</f>
        <v>TRK100862</v>
      </c>
      <c r="B864" s="5" t="str">
        <f>TRIM(Raw_Data!B864)</f>
        <v>EcomExpress</v>
      </c>
      <c r="C864" s="5" t="str">
        <f>TRIM(Raw_Data!C864)</f>
        <v>Metro</v>
      </c>
      <c r="D864" s="6">
        <f>DATEVALUE(TEXT(Raw_Data!D864, "YYYY-MM-DD"))</f>
        <v>46081</v>
      </c>
      <c r="E864" s="6">
        <f>IF(ISBLANK(Raw_Data!E864), "", DATEVALUE(TEXT(Raw_Data!E864, "YYYY-MM-DD")))</f>
        <v>46083</v>
      </c>
      <c r="F864" s="5">
        <f t="shared" si="1"/>
        <v>2</v>
      </c>
      <c r="G864" s="5">
        <f t="shared" si="2"/>
        <v>1</v>
      </c>
      <c r="H864" s="5" t="str">
        <f t="shared" si="3"/>
        <v>ON TIME</v>
      </c>
      <c r="I864" s="5">
        <f>Raw_Data!F864</f>
        <v>11651</v>
      </c>
      <c r="J864" s="5">
        <f t="shared" si="4"/>
        <v>0</v>
      </c>
    </row>
    <row r="865">
      <c r="A865" s="5" t="str">
        <f>Raw_Data!A865</f>
        <v>TRK100863</v>
      </c>
      <c r="B865" s="5" t="str">
        <f>TRIM(Raw_Data!B865)</f>
        <v>EcomExpress</v>
      </c>
      <c r="C865" s="5" t="str">
        <f>TRIM(Raw_Data!C865)</f>
        <v>Tier 3</v>
      </c>
      <c r="D865" s="6">
        <f>DATEVALUE(TEXT(Raw_Data!D865, "YYYY-MM-DD"))</f>
        <v>46030</v>
      </c>
      <c r="E865" s="6">
        <f>IF(ISBLANK(Raw_Data!E865), "", DATEVALUE(TEXT(Raw_Data!E865, "YYYY-MM-DD")))</f>
        <v>46036</v>
      </c>
      <c r="F865" s="5">
        <f t="shared" si="1"/>
        <v>6</v>
      </c>
      <c r="G865" s="5">
        <f t="shared" si="2"/>
        <v>5</v>
      </c>
      <c r="H865" s="5" t="str">
        <f t="shared" si="3"/>
        <v>ON TIME</v>
      </c>
      <c r="I865" s="5">
        <f>Raw_Data!F865</f>
        <v>3583</v>
      </c>
      <c r="J865" s="5">
        <f t="shared" si="4"/>
        <v>0</v>
      </c>
    </row>
    <row r="866">
      <c r="A866" s="5" t="str">
        <f>Raw_Data!A866</f>
        <v>TRK100864</v>
      </c>
      <c r="B866" s="5" t="str">
        <f>TRIM(Raw_Data!B866)</f>
        <v>BlueDart</v>
      </c>
      <c r="C866" s="5" t="str">
        <f>TRIM(Raw_Data!C866)</f>
        <v>Tier 3</v>
      </c>
      <c r="D866" s="6">
        <f>DATEVALUE(TEXT(Raw_Data!D866, "YYYY-MM-DD"))</f>
        <v>46032</v>
      </c>
      <c r="E866" s="6">
        <f>IF(ISBLANK(Raw_Data!E866), "", DATEVALUE(TEXT(Raw_Data!E866, "YYYY-MM-DD")))</f>
        <v>46038</v>
      </c>
      <c r="F866" s="5">
        <f t="shared" si="1"/>
        <v>6</v>
      </c>
      <c r="G866" s="5">
        <f t="shared" si="2"/>
        <v>5</v>
      </c>
      <c r="H866" s="5" t="str">
        <f t="shared" si="3"/>
        <v>ON TIME</v>
      </c>
      <c r="I866" s="5">
        <f>Raw_Data!F866</f>
        <v>10623</v>
      </c>
      <c r="J866" s="5">
        <f t="shared" si="4"/>
        <v>0</v>
      </c>
    </row>
    <row r="867">
      <c r="A867" s="5" t="str">
        <f>Raw_Data!A867</f>
        <v>TRK100865</v>
      </c>
      <c r="B867" s="5" t="str">
        <f>TRIM(Raw_Data!B867)</f>
        <v>BlueDart</v>
      </c>
      <c r="C867" s="5" t="str">
        <f>TRIM(Raw_Data!C867)</f>
        <v>Metro</v>
      </c>
      <c r="D867" s="6">
        <f>DATEVALUE(TEXT(Raw_Data!D867, "YYYY-MM-DD"))</f>
        <v>46042</v>
      </c>
      <c r="E867" s="6">
        <f>IF(ISBLANK(Raw_Data!E867), "", DATEVALUE(TEXT(Raw_Data!E867, "YYYY-MM-DD")))</f>
        <v>46044</v>
      </c>
      <c r="F867" s="5">
        <f t="shared" si="1"/>
        <v>2</v>
      </c>
      <c r="G867" s="5">
        <f t="shared" si="2"/>
        <v>3</v>
      </c>
      <c r="H867" s="5" t="str">
        <f t="shared" si="3"/>
        <v>SLA BREACH</v>
      </c>
      <c r="I867" s="5">
        <f>Raw_Data!F867</f>
        <v>4219</v>
      </c>
      <c r="J867" s="5">
        <f t="shared" si="4"/>
        <v>210.95</v>
      </c>
    </row>
    <row r="868">
      <c r="A868" s="5" t="str">
        <f>Raw_Data!A868</f>
        <v>TRK100866</v>
      </c>
      <c r="B868" s="5" t="str">
        <f>TRIM(Raw_Data!B868)</f>
        <v>Delhivery</v>
      </c>
      <c r="C868" s="5" t="str">
        <f>TRIM(Raw_Data!C868)</f>
        <v>Metro</v>
      </c>
      <c r="D868" s="6">
        <f>DATEVALUE(TEXT(Raw_Data!D868, "YYYY-MM-DD"))</f>
        <v>46052</v>
      </c>
      <c r="E868" s="6">
        <f>IF(ISBLANK(Raw_Data!E868), "", DATEVALUE(TEXT(Raw_Data!E868, "YYYY-MM-DD")))</f>
        <v>46054</v>
      </c>
      <c r="F868" s="5">
        <f t="shared" si="1"/>
        <v>2</v>
      </c>
      <c r="G868" s="5">
        <f t="shared" si="2"/>
        <v>1</v>
      </c>
      <c r="H868" s="5" t="str">
        <f t="shared" si="3"/>
        <v>ON TIME</v>
      </c>
      <c r="I868" s="5">
        <f>Raw_Data!F868</f>
        <v>7623</v>
      </c>
      <c r="J868" s="5">
        <f t="shared" si="4"/>
        <v>0</v>
      </c>
    </row>
    <row r="869">
      <c r="A869" s="5" t="str">
        <f>Raw_Data!A869</f>
        <v>TRK100867</v>
      </c>
      <c r="B869" s="5" t="str">
        <f>TRIM(Raw_Data!B869)</f>
        <v>Delhivery</v>
      </c>
      <c r="C869" s="5" t="str">
        <f>TRIM(Raw_Data!C869)</f>
        <v>Metro</v>
      </c>
      <c r="D869" s="6">
        <f>DATEVALUE(TEXT(Raw_Data!D869, "YYYY-MM-DD"))</f>
        <v>46036</v>
      </c>
      <c r="E869" s="6">
        <f>IF(ISBLANK(Raw_Data!E869), "", DATEVALUE(TEXT(Raw_Data!E869, "YYYY-MM-DD")))</f>
        <v>46038</v>
      </c>
      <c r="F869" s="5">
        <f t="shared" si="1"/>
        <v>2</v>
      </c>
      <c r="G869" s="5">
        <f t="shared" si="2"/>
        <v>3</v>
      </c>
      <c r="H869" s="5" t="str">
        <f t="shared" si="3"/>
        <v>SLA BREACH</v>
      </c>
      <c r="I869" s="5">
        <f>Raw_Data!F869</f>
        <v>11254</v>
      </c>
      <c r="J869" s="5">
        <f t="shared" si="4"/>
        <v>562.7</v>
      </c>
    </row>
    <row r="870">
      <c r="A870" s="5" t="str">
        <f>Raw_Data!A870</f>
        <v>TRK100868</v>
      </c>
      <c r="B870" s="5" t="str">
        <f>TRIM(Raw_Data!B870)</f>
        <v>BlueDart</v>
      </c>
      <c r="C870" s="5" t="str">
        <f>TRIM(Raw_Data!C870)</f>
        <v>Tier 3</v>
      </c>
      <c r="D870" s="6">
        <f>DATEVALUE(TEXT(Raw_Data!D870, "YYYY-MM-DD"))</f>
        <v>46053</v>
      </c>
      <c r="E870" s="6">
        <f>IF(ISBLANK(Raw_Data!E870), "", DATEVALUE(TEXT(Raw_Data!E870, "YYYY-MM-DD")))</f>
        <v>46061</v>
      </c>
      <c r="F870" s="5">
        <f t="shared" si="1"/>
        <v>6</v>
      </c>
      <c r="G870" s="5">
        <f t="shared" si="2"/>
        <v>5</v>
      </c>
      <c r="H870" s="5" t="str">
        <f t="shared" si="3"/>
        <v>ON TIME</v>
      </c>
      <c r="I870" s="5">
        <f>Raw_Data!F870</f>
        <v>2179</v>
      </c>
      <c r="J870" s="5">
        <f t="shared" si="4"/>
        <v>0</v>
      </c>
    </row>
    <row r="871">
      <c r="A871" s="5" t="str">
        <f>Raw_Data!A871</f>
        <v>TRK100869</v>
      </c>
      <c r="B871" s="5" t="str">
        <f>TRIM(Raw_Data!B871)</f>
        <v>BlueDart</v>
      </c>
      <c r="C871" s="5" t="str">
        <f>TRIM(Raw_Data!C871)</f>
        <v>Tier 2</v>
      </c>
      <c r="D871" s="6">
        <f>DATEVALUE(TEXT(Raw_Data!D871, "YYYY-MM-DD"))</f>
        <v>46053</v>
      </c>
      <c r="E871" s="6">
        <f>IF(ISBLANK(Raw_Data!E871), "", DATEVALUE(TEXT(Raw_Data!E871, "YYYY-MM-DD")))</f>
        <v>46060</v>
      </c>
      <c r="F871" s="5">
        <f t="shared" si="1"/>
        <v>4</v>
      </c>
      <c r="G871" s="5">
        <f t="shared" si="2"/>
        <v>5</v>
      </c>
      <c r="H871" s="5" t="str">
        <f t="shared" si="3"/>
        <v>SLA BREACH</v>
      </c>
      <c r="I871" s="5">
        <f>Raw_Data!F871</f>
        <v>736</v>
      </c>
      <c r="J871" s="5">
        <f t="shared" si="4"/>
        <v>36.8</v>
      </c>
    </row>
    <row r="872">
      <c r="A872" s="5" t="str">
        <f>Raw_Data!A872</f>
        <v>TRK100870</v>
      </c>
      <c r="B872" s="5" t="str">
        <f>TRIM(Raw_Data!B872)</f>
        <v>Delhivery</v>
      </c>
      <c r="C872" s="5" t="str">
        <f>TRIM(Raw_Data!C872)</f>
        <v>Tier 2</v>
      </c>
      <c r="D872" s="6">
        <f>DATEVALUE(TEXT(Raw_Data!D872, "YYYY-MM-DD"))</f>
        <v>46051</v>
      </c>
      <c r="E872" s="6">
        <f>IF(ISBLANK(Raw_Data!E872), "", DATEVALUE(TEXT(Raw_Data!E872, "YYYY-MM-DD")))</f>
        <v>46055</v>
      </c>
      <c r="F872" s="5">
        <f t="shared" si="1"/>
        <v>4</v>
      </c>
      <c r="G872" s="5">
        <f t="shared" si="2"/>
        <v>3</v>
      </c>
      <c r="H872" s="5" t="str">
        <f t="shared" si="3"/>
        <v>ON TIME</v>
      </c>
      <c r="I872" s="5">
        <f>Raw_Data!F872</f>
        <v>7946</v>
      </c>
      <c r="J872" s="5">
        <f t="shared" si="4"/>
        <v>0</v>
      </c>
    </row>
    <row r="873">
      <c r="A873" s="5" t="str">
        <f>Raw_Data!A873</f>
        <v>TRK100871</v>
      </c>
      <c r="B873" s="5" t="str">
        <f>TRIM(Raw_Data!B873)</f>
        <v>BlueDart</v>
      </c>
      <c r="C873" s="5" t="str">
        <f>TRIM(Raw_Data!C873)</f>
        <v>Tier 3</v>
      </c>
      <c r="D873" s="6">
        <f>DATEVALUE(TEXT(Raw_Data!D873, "YYYY-MM-DD"))</f>
        <v>46067</v>
      </c>
      <c r="E873" s="6">
        <f>IF(ISBLANK(Raw_Data!E873), "", DATEVALUE(TEXT(Raw_Data!E873, "YYYY-MM-DD")))</f>
        <v>46073</v>
      </c>
      <c r="F873" s="5">
        <f t="shared" si="1"/>
        <v>6</v>
      </c>
      <c r="G873" s="5">
        <f t="shared" si="2"/>
        <v>5</v>
      </c>
      <c r="H873" s="5" t="str">
        <f t="shared" si="3"/>
        <v>ON TIME</v>
      </c>
      <c r="I873" s="5">
        <f>Raw_Data!F873</f>
        <v>4943</v>
      </c>
      <c r="J873" s="5">
        <f t="shared" si="4"/>
        <v>0</v>
      </c>
    </row>
    <row r="874">
      <c r="A874" s="5" t="str">
        <f>Raw_Data!A874</f>
        <v>TRK100872</v>
      </c>
      <c r="B874" s="5" t="str">
        <f>TRIM(Raw_Data!B874)</f>
        <v>EcomExpress</v>
      </c>
      <c r="C874" s="5" t="str">
        <f>TRIM(Raw_Data!C874)</f>
        <v>Tier 3</v>
      </c>
      <c r="D874" s="6">
        <f>DATEVALUE(TEXT(Raw_Data!D874, "YYYY-MM-DD"))</f>
        <v>46043</v>
      </c>
      <c r="E874" s="6">
        <f>IF(ISBLANK(Raw_Data!E874), "", DATEVALUE(TEXT(Raw_Data!E874, "YYYY-MM-DD")))</f>
        <v>46049</v>
      </c>
      <c r="F874" s="5">
        <f t="shared" si="1"/>
        <v>6</v>
      </c>
      <c r="G874" s="5">
        <f t="shared" si="2"/>
        <v>5</v>
      </c>
      <c r="H874" s="5" t="str">
        <f t="shared" si="3"/>
        <v>ON TIME</v>
      </c>
      <c r="I874" s="5">
        <f>Raw_Data!F874</f>
        <v>7270</v>
      </c>
      <c r="J874" s="5">
        <f t="shared" si="4"/>
        <v>0</v>
      </c>
    </row>
    <row r="875">
      <c r="A875" s="5" t="str">
        <f>Raw_Data!A875</f>
        <v>TRK100873</v>
      </c>
      <c r="B875" s="5" t="str">
        <f>TRIM(Raw_Data!B875)</f>
        <v>EcomExpress</v>
      </c>
      <c r="C875" s="5" t="str">
        <f>TRIM(Raw_Data!C875)</f>
        <v>Tier 3</v>
      </c>
      <c r="D875" s="6">
        <f>DATEVALUE(TEXT(Raw_Data!D875, "YYYY-MM-DD"))</f>
        <v>46042</v>
      </c>
      <c r="E875" s="6">
        <f>IF(ISBLANK(Raw_Data!E875), "", DATEVALUE(TEXT(Raw_Data!E875, "YYYY-MM-DD")))</f>
        <v>46048</v>
      </c>
      <c r="F875" s="5">
        <f t="shared" si="1"/>
        <v>6</v>
      </c>
      <c r="G875" s="5">
        <f t="shared" si="2"/>
        <v>5</v>
      </c>
      <c r="H875" s="5" t="str">
        <f t="shared" si="3"/>
        <v>ON TIME</v>
      </c>
      <c r="I875" s="5">
        <f>Raw_Data!F875</f>
        <v>10232</v>
      </c>
      <c r="J875" s="5">
        <f t="shared" si="4"/>
        <v>0</v>
      </c>
    </row>
    <row r="876">
      <c r="A876" s="5" t="str">
        <f>Raw_Data!A876</f>
        <v>TRK100874</v>
      </c>
      <c r="B876" s="5" t="str">
        <f>TRIM(Raw_Data!B876)</f>
        <v>EcomExpress</v>
      </c>
      <c r="C876" s="5" t="str">
        <f>TRIM(Raw_Data!C876)</f>
        <v>Metro</v>
      </c>
      <c r="D876" s="6">
        <f>DATEVALUE(TEXT(Raw_Data!D876, "YYYY-MM-DD"))</f>
        <v>46074</v>
      </c>
      <c r="E876" s="6">
        <f>IF(ISBLANK(Raw_Data!E876), "", DATEVALUE(TEXT(Raw_Data!E876, "YYYY-MM-DD")))</f>
        <v>46076</v>
      </c>
      <c r="F876" s="5">
        <f t="shared" si="1"/>
        <v>2</v>
      </c>
      <c r="G876" s="5">
        <f t="shared" si="2"/>
        <v>1</v>
      </c>
      <c r="H876" s="5" t="str">
        <f t="shared" si="3"/>
        <v>ON TIME</v>
      </c>
      <c r="I876" s="5">
        <f>Raw_Data!F876</f>
        <v>6599</v>
      </c>
      <c r="J876" s="5">
        <f t="shared" si="4"/>
        <v>0</v>
      </c>
    </row>
    <row r="877">
      <c r="A877" s="5" t="str">
        <f>Raw_Data!A877</f>
        <v>TRK100875</v>
      </c>
      <c r="B877" s="5" t="str">
        <f>TRIM(Raw_Data!B877)</f>
        <v>BlueDart</v>
      </c>
      <c r="C877" s="5" t="str">
        <f>TRIM(Raw_Data!C877)</f>
        <v>Tier 2</v>
      </c>
      <c r="D877" s="6">
        <f>DATEVALUE(TEXT(Raw_Data!D877, "YYYY-MM-DD"))</f>
        <v>46030</v>
      </c>
      <c r="E877" s="6">
        <f>IF(ISBLANK(Raw_Data!E877), "", DATEVALUE(TEXT(Raw_Data!E877, "YYYY-MM-DD")))</f>
        <v>46034</v>
      </c>
      <c r="F877" s="5">
        <f t="shared" si="1"/>
        <v>4</v>
      </c>
      <c r="G877" s="5">
        <f t="shared" si="2"/>
        <v>3</v>
      </c>
      <c r="H877" s="5" t="str">
        <f t="shared" si="3"/>
        <v>ON TIME</v>
      </c>
      <c r="I877" s="5">
        <f>Raw_Data!F877</f>
        <v>9055</v>
      </c>
      <c r="J877" s="5">
        <f t="shared" si="4"/>
        <v>0</v>
      </c>
    </row>
    <row r="878">
      <c r="A878" s="5" t="str">
        <f>Raw_Data!A878</f>
        <v>TRK100876</v>
      </c>
      <c r="B878" s="5" t="str">
        <f>TRIM(Raw_Data!B878)</f>
        <v>BlueDart</v>
      </c>
      <c r="C878" s="5" t="str">
        <f>TRIM(Raw_Data!C878)</f>
        <v>Tier 2</v>
      </c>
      <c r="D878" s="6">
        <f>DATEVALUE(TEXT(Raw_Data!D878, "YYYY-MM-DD"))</f>
        <v>46077</v>
      </c>
      <c r="E878" s="6">
        <f>IF(ISBLANK(Raw_Data!E878), "", DATEVALUE(TEXT(Raw_Data!E878, "YYYY-MM-DD")))</f>
        <v>46082</v>
      </c>
      <c r="F878" s="5">
        <f t="shared" si="1"/>
        <v>4</v>
      </c>
      <c r="G878" s="5">
        <f t="shared" si="2"/>
        <v>4</v>
      </c>
      <c r="H878" s="5" t="str">
        <f t="shared" si="3"/>
        <v>ON TIME</v>
      </c>
      <c r="I878" s="5">
        <f>Raw_Data!F878</f>
        <v>2868</v>
      </c>
      <c r="J878" s="5">
        <f t="shared" si="4"/>
        <v>0</v>
      </c>
    </row>
    <row r="879">
      <c r="A879" s="5" t="str">
        <f>Raw_Data!A879</f>
        <v>TRK100877</v>
      </c>
      <c r="B879" s="5" t="str">
        <f>TRIM(Raw_Data!B879)</f>
        <v>Delhivery</v>
      </c>
      <c r="C879" s="5" t="str">
        <f>TRIM(Raw_Data!C879)</f>
        <v>Tier 2</v>
      </c>
      <c r="D879" s="6">
        <f>DATEVALUE(TEXT(Raw_Data!D879, "YYYY-MM-DD"))</f>
        <v>46064</v>
      </c>
      <c r="E879" s="6" t="str">
        <f>IF(ISBLANK(Raw_Data!E879), "", DATEVALUE(TEXT(Raw_Data!E879, "YYYY-MM-DD")))</f>
        <v/>
      </c>
      <c r="F879" s="5">
        <f t="shared" si="1"/>
        <v>4</v>
      </c>
      <c r="G879" s="5" t="str">
        <f t="shared" si="2"/>
        <v>In-Transit</v>
      </c>
      <c r="H879" s="5" t="str">
        <f t="shared" si="3"/>
        <v>Pending</v>
      </c>
      <c r="I879" s="5">
        <f>Raw_Data!F879</f>
        <v>785</v>
      </c>
      <c r="J879" s="5">
        <f t="shared" si="4"/>
        <v>0</v>
      </c>
    </row>
    <row r="880">
      <c r="A880" s="5" t="str">
        <f>Raw_Data!A880</f>
        <v>TRK100878</v>
      </c>
      <c r="B880" s="5" t="str">
        <f>TRIM(Raw_Data!B880)</f>
        <v>BlueDart</v>
      </c>
      <c r="C880" s="5" t="str">
        <f>TRIM(Raw_Data!C880)</f>
        <v>Tier 2</v>
      </c>
      <c r="D880" s="6">
        <f>DATEVALUE(TEXT(Raw_Data!D880, "YYYY-MM-DD"))</f>
        <v>46066</v>
      </c>
      <c r="E880" s="6">
        <f>IF(ISBLANK(Raw_Data!E880), "", DATEVALUE(TEXT(Raw_Data!E880, "YYYY-MM-DD")))</f>
        <v>46070</v>
      </c>
      <c r="F880" s="5">
        <f t="shared" si="1"/>
        <v>4</v>
      </c>
      <c r="G880" s="5">
        <f t="shared" si="2"/>
        <v>3</v>
      </c>
      <c r="H880" s="5" t="str">
        <f t="shared" si="3"/>
        <v>ON TIME</v>
      </c>
      <c r="I880" s="5">
        <f>Raw_Data!F880</f>
        <v>648</v>
      </c>
      <c r="J880" s="5">
        <f t="shared" si="4"/>
        <v>0</v>
      </c>
    </row>
    <row r="881">
      <c r="A881" s="5" t="str">
        <f>Raw_Data!A881</f>
        <v>TRK100879</v>
      </c>
      <c r="B881" s="5" t="str">
        <f>TRIM(Raw_Data!B881)</f>
        <v>BlueDart</v>
      </c>
      <c r="C881" s="5" t="str">
        <f>TRIM(Raw_Data!C881)</f>
        <v>Tier 2</v>
      </c>
      <c r="D881" s="6">
        <f>DATEVALUE(TEXT(Raw_Data!D881, "YYYY-MM-DD"))</f>
        <v>46033</v>
      </c>
      <c r="E881" s="6">
        <f>IF(ISBLANK(Raw_Data!E881), "", DATEVALUE(TEXT(Raw_Data!E881, "YYYY-MM-DD")))</f>
        <v>46037</v>
      </c>
      <c r="F881" s="5">
        <f t="shared" si="1"/>
        <v>4</v>
      </c>
      <c r="G881" s="5">
        <f t="shared" si="2"/>
        <v>4</v>
      </c>
      <c r="H881" s="5" t="str">
        <f t="shared" si="3"/>
        <v>ON TIME</v>
      </c>
      <c r="I881" s="5">
        <f>Raw_Data!F881</f>
        <v>4537</v>
      </c>
      <c r="J881" s="5">
        <f t="shared" si="4"/>
        <v>0</v>
      </c>
    </row>
    <row r="882">
      <c r="A882" s="5" t="str">
        <f>Raw_Data!A882</f>
        <v>TRK100880</v>
      </c>
      <c r="B882" s="5" t="str">
        <f>TRIM(Raw_Data!B882)</f>
        <v>Delhivery</v>
      </c>
      <c r="C882" s="5" t="str">
        <f>TRIM(Raw_Data!C882)</f>
        <v>Tier 2</v>
      </c>
      <c r="D882" s="6">
        <f>DATEVALUE(TEXT(Raw_Data!D882, "YYYY-MM-DD"))</f>
        <v>46038</v>
      </c>
      <c r="E882" s="6">
        <f>IF(ISBLANK(Raw_Data!E882), "", DATEVALUE(TEXT(Raw_Data!E882, "YYYY-MM-DD")))</f>
        <v>46042</v>
      </c>
      <c r="F882" s="5">
        <f t="shared" si="1"/>
        <v>4</v>
      </c>
      <c r="G882" s="5">
        <f t="shared" si="2"/>
        <v>3</v>
      </c>
      <c r="H882" s="5" t="str">
        <f t="shared" si="3"/>
        <v>ON TIME</v>
      </c>
      <c r="I882" s="5">
        <f>Raw_Data!F882</f>
        <v>7049</v>
      </c>
      <c r="J882" s="5">
        <f t="shared" si="4"/>
        <v>0</v>
      </c>
    </row>
    <row r="883">
      <c r="A883" s="5" t="str">
        <f>Raw_Data!A883</f>
        <v>TRK100881</v>
      </c>
      <c r="B883" s="5" t="str">
        <f>TRIM(Raw_Data!B883)</f>
        <v>BlueDart</v>
      </c>
      <c r="C883" s="5" t="str">
        <f>TRIM(Raw_Data!C883)</f>
        <v>Tier 3</v>
      </c>
      <c r="D883" s="6">
        <f>DATEVALUE(TEXT(Raw_Data!D883, "YYYY-MM-DD"))</f>
        <v>46034</v>
      </c>
      <c r="E883" s="6">
        <f>IF(ISBLANK(Raw_Data!E883), "", DATEVALUE(TEXT(Raw_Data!E883, "YYYY-MM-DD")))</f>
        <v>46040</v>
      </c>
      <c r="F883" s="5">
        <f t="shared" si="1"/>
        <v>6</v>
      </c>
      <c r="G883" s="5">
        <f t="shared" si="2"/>
        <v>5</v>
      </c>
      <c r="H883" s="5" t="str">
        <f t="shared" si="3"/>
        <v>ON TIME</v>
      </c>
      <c r="I883" s="5">
        <f>Raw_Data!F883</f>
        <v>7621</v>
      </c>
      <c r="J883" s="5">
        <f t="shared" si="4"/>
        <v>0</v>
      </c>
    </row>
    <row r="884">
      <c r="A884" s="5" t="str">
        <f>Raw_Data!A884</f>
        <v>TRK100882</v>
      </c>
      <c r="B884" s="5" t="str">
        <f>TRIM(Raw_Data!B884)</f>
        <v>Delhivery</v>
      </c>
      <c r="C884" s="5" t="str">
        <f>TRIM(Raw_Data!C884)</f>
        <v>Tier 3</v>
      </c>
      <c r="D884" s="6">
        <f>DATEVALUE(TEXT(Raw_Data!D884, "YYYY-MM-DD"))</f>
        <v>46033</v>
      </c>
      <c r="E884" s="6">
        <f>IF(ISBLANK(Raw_Data!E884), "", DATEVALUE(TEXT(Raw_Data!E884, "YYYY-MM-DD")))</f>
        <v>46039</v>
      </c>
      <c r="F884" s="5">
        <f t="shared" si="1"/>
        <v>6</v>
      </c>
      <c r="G884" s="5">
        <f t="shared" si="2"/>
        <v>5</v>
      </c>
      <c r="H884" s="5" t="str">
        <f t="shared" si="3"/>
        <v>ON TIME</v>
      </c>
      <c r="I884" s="5">
        <f>Raw_Data!F884</f>
        <v>10458</v>
      </c>
      <c r="J884" s="5">
        <f t="shared" si="4"/>
        <v>0</v>
      </c>
    </row>
    <row r="885">
      <c r="A885" s="5" t="str">
        <f>Raw_Data!A885</f>
        <v>TRK100883</v>
      </c>
      <c r="B885" s="5" t="str">
        <f>TRIM(Raw_Data!B885)</f>
        <v>BlueDart</v>
      </c>
      <c r="C885" s="5" t="str">
        <f>TRIM(Raw_Data!C885)</f>
        <v>Metro</v>
      </c>
      <c r="D885" s="6">
        <f>DATEVALUE(TEXT(Raw_Data!D885, "YYYY-MM-DD"))</f>
        <v>46058</v>
      </c>
      <c r="E885" s="6">
        <f>IF(ISBLANK(Raw_Data!E885), "", DATEVALUE(TEXT(Raw_Data!E885, "YYYY-MM-DD")))</f>
        <v>46060</v>
      </c>
      <c r="F885" s="5">
        <f t="shared" si="1"/>
        <v>2</v>
      </c>
      <c r="G885" s="5">
        <f t="shared" si="2"/>
        <v>2</v>
      </c>
      <c r="H885" s="5" t="str">
        <f t="shared" si="3"/>
        <v>ON TIME</v>
      </c>
      <c r="I885" s="5">
        <f>Raw_Data!F885</f>
        <v>5395</v>
      </c>
      <c r="J885" s="5">
        <f t="shared" si="4"/>
        <v>0</v>
      </c>
    </row>
    <row r="886">
      <c r="A886" s="5" t="str">
        <f>Raw_Data!A886</f>
        <v>TRK100884</v>
      </c>
      <c r="B886" s="5" t="str">
        <f>TRIM(Raw_Data!B886)</f>
        <v>BlueDart</v>
      </c>
      <c r="C886" s="5" t="str">
        <f>TRIM(Raw_Data!C886)</f>
        <v>Tier 3</v>
      </c>
      <c r="D886" s="6">
        <f>DATEVALUE(TEXT(Raw_Data!D886, "YYYY-MM-DD"))</f>
        <v>46052</v>
      </c>
      <c r="E886" s="6">
        <f>IF(ISBLANK(Raw_Data!E886), "", DATEVALUE(TEXT(Raw_Data!E886, "YYYY-MM-DD")))</f>
        <v>46059</v>
      </c>
      <c r="F886" s="5">
        <f t="shared" si="1"/>
        <v>6</v>
      </c>
      <c r="G886" s="5">
        <f t="shared" si="2"/>
        <v>6</v>
      </c>
      <c r="H886" s="5" t="str">
        <f t="shared" si="3"/>
        <v>ON TIME</v>
      </c>
      <c r="I886" s="5">
        <f>Raw_Data!F886</f>
        <v>5780</v>
      </c>
      <c r="J886" s="5">
        <f t="shared" si="4"/>
        <v>0</v>
      </c>
    </row>
    <row r="887">
      <c r="A887" s="5" t="str">
        <f>Raw_Data!A887</f>
        <v>TRK100885</v>
      </c>
      <c r="B887" s="5" t="str">
        <f>TRIM(Raw_Data!B887)</f>
        <v>BlueDart</v>
      </c>
      <c r="C887" s="5" t="str">
        <f>TRIM(Raw_Data!C887)</f>
        <v>Tier 3</v>
      </c>
      <c r="D887" s="6">
        <f>DATEVALUE(TEXT(Raw_Data!D887, "YYYY-MM-DD"))</f>
        <v>46074</v>
      </c>
      <c r="E887" s="6">
        <f>IF(ISBLANK(Raw_Data!E887), "", DATEVALUE(TEXT(Raw_Data!E887, "YYYY-MM-DD")))</f>
        <v>46080</v>
      </c>
      <c r="F887" s="5">
        <f t="shared" si="1"/>
        <v>6</v>
      </c>
      <c r="G887" s="5">
        <f t="shared" si="2"/>
        <v>5</v>
      </c>
      <c r="H887" s="5" t="str">
        <f t="shared" si="3"/>
        <v>ON TIME</v>
      </c>
      <c r="I887" s="5">
        <f>Raw_Data!F887</f>
        <v>1512</v>
      </c>
      <c r="J887" s="5">
        <f t="shared" si="4"/>
        <v>0</v>
      </c>
    </row>
    <row r="888">
      <c r="A888" s="5" t="str">
        <f>Raw_Data!A888</f>
        <v>TRK100886</v>
      </c>
      <c r="B888" s="5" t="str">
        <f>TRIM(Raw_Data!B888)</f>
        <v>BlueDart</v>
      </c>
      <c r="C888" s="5" t="str">
        <f>TRIM(Raw_Data!C888)</f>
        <v>Tier 2</v>
      </c>
      <c r="D888" s="6">
        <f>DATEVALUE(TEXT(Raw_Data!D888, "YYYY-MM-DD"))</f>
        <v>46063</v>
      </c>
      <c r="E888" s="6">
        <f>IF(ISBLANK(Raw_Data!E888), "", DATEVALUE(TEXT(Raw_Data!E888, "YYYY-MM-DD")))</f>
        <v>46067</v>
      </c>
      <c r="F888" s="5">
        <f t="shared" si="1"/>
        <v>4</v>
      </c>
      <c r="G888" s="5">
        <f t="shared" si="2"/>
        <v>4</v>
      </c>
      <c r="H888" s="5" t="str">
        <f t="shared" si="3"/>
        <v>ON TIME</v>
      </c>
      <c r="I888" s="5">
        <f>Raw_Data!F888</f>
        <v>11523</v>
      </c>
      <c r="J888" s="5">
        <f t="shared" si="4"/>
        <v>0</v>
      </c>
    </row>
    <row r="889">
      <c r="A889" s="5" t="str">
        <f>Raw_Data!A889</f>
        <v>TRK100887</v>
      </c>
      <c r="B889" s="5" t="str">
        <f>TRIM(Raw_Data!B889)</f>
        <v>EcomExpress</v>
      </c>
      <c r="C889" s="5" t="str">
        <f>TRIM(Raw_Data!C889)</f>
        <v>Metro</v>
      </c>
      <c r="D889" s="6">
        <f>DATEVALUE(TEXT(Raw_Data!D889, "YYYY-MM-DD"))</f>
        <v>46034</v>
      </c>
      <c r="E889" s="6">
        <f>IF(ISBLANK(Raw_Data!E889), "", DATEVALUE(TEXT(Raw_Data!E889, "YYYY-MM-DD")))</f>
        <v>46036</v>
      </c>
      <c r="F889" s="5">
        <f t="shared" si="1"/>
        <v>2</v>
      </c>
      <c r="G889" s="5">
        <f t="shared" si="2"/>
        <v>3</v>
      </c>
      <c r="H889" s="5" t="str">
        <f t="shared" si="3"/>
        <v>SLA BREACH</v>
      </c>
      <c r="I889" s="5">
        <f>Raw_Data!F889</f>
        <v>11199</v>
      </c>
      <c r="J889" s="5">
        <f t="shared" si="4"/>
        <v>559.95</v>
      </c>
    </row>
    <row r="890">
      <c r="A890" s="5" t="str">
        <f>Raw_Data!A890</f>
        <v>TRK100888</v>
      </c>
      <c r="B890" s="5" t="str">
        <f>TRIM(Raw_Data!B890)</f>
        <v>EcomExpress</v>
      </c>
      <c r="C890" s="5" t="str">
        <f>TRIM(Raw_Data!C890)</f>
        <v>Tier 2</v>
      </c>
      <c r="D890" s="6">
        <f>DATEVALUE(TEXT(Raw_Data!D890, "YYYY-MM-DD"))</f>
        <v>46065</v>
      </c>
      <c r="E890" s="6">
        <f>IF(ISBLANK(Raw_Data!E890), "", DATEVALUE(TEXT(Raw_Data!E890, "YYYY-MM-DD")))</f>
        <v>46069</v>
      </c>
      <c r="F890" s="5">
        <f t="shared" si="1"/>
        <v>4</v>
      </c>
      <c r="G890" s="5">
        <f t="shared" si="2"/>
        <v>3</v>
      </c>
      <c r="H890" s="5" t="str">
        <f t="shared" si="3"/>
        <v>ON TIME</v>
      </c>
      <c r="I890" s="5">
        <f>Raw_Data!F890</f>
        <v>10215</v>
      </c>
      <c r="J890" s="5">
        <f t="shared" si="4"/>
        <v>0</v>
      </c>
    </row>
    <row r="891">
      <c r="A891" s="5" t="str">
        <f>Raw_Data!A891</f>
        <v>TRK100889</v>
      </c>
      <c r="B891" s="5" t="str">
        <f>TRIM(Raw_Data!B891)</f>
        <v>BlueDart</v>
      </c>
      <c r="C891" s="5" t="str">
        <f>TRIM(Raw_Data!C891)</f>
        <v>Metro</v>
      </c>
      <c r="D891" s="6">
        <f>DATEVALUE(TEXT(Raw_Data!D891, "YYYY-MM-DD"))</f>
        <v>46048</v>
      </c>
      <c r="E891" s="6">
        <f>IF(ISBLANK(Raw_Data!E891), "", DATEVALUE(TEXT(Raw_Data!E891, "YYYY-MM-DD")))</f>
        <v>46050</v>
      </c>
      <c r="F891" s="5">
        <f t="shared" si="1"/>
        <v>2</v>
      </c>
      <c r="G891" s="5">
        <f t="shared" si="2"/>
        <v>3</v>
      </c>
      <c r="H891" s="5" t="str">
        <f t="shared" si="3"/>
        <v>SLA BREACH</v>
      </c>
      <c r="I891" s="5">
        <f>Raw_Data!F891</f>
        <v>3285</v>
      </c>
      <c r="J891" s="5">
        <f t="shared" si="4"/>
        <v>164.25</v>
      </c>
    </row>
    <row r="892">
      <c r="A892" s="5" t="str">
        <f>Raw_Data!A892</f>
        <v>TRK100890</v>
      </c>
      <c r="B892" s="5" t="str">
        <f>TRIM(Raw_Data!B892)</f>
        <v>EcomExpress</v>
      </c>
      <c r="C892" s="5" t="str">
        <f>TRIM(Raw_Data!C892)</f>
        <v>Tier 3</v>
      </c>
      <c r="D892" s="6">
        <f>DATEVALUE(TEXT(Raw_Data!D892, "YYYY-MM-DD"))</f>
        <v>46070</v>
      </c>
      <c r="E892" s="6">
        <f>IF(ISBLANK(Raw_Data!E892), "", DATEVALUE(TEXT(Raw_Data!E892, "YYYY-MM-DD")))</f>
        <v>46077</v>
      </c>
      <c r="F892" s="5">
        <f t="shared" si="1"/>
        <v>6</v>
      </c>
      <c r="G892" s="5">
        <f t="shared" si="2"/>
        <v>6</v>
      </c>
      <c r="H892" s="5" t="str">
        <f t="shared" si="3"/>
        <v>ON TIME</v>
      </c>
      <c r="I892" s="5">
        <f>Raw_Data!F892</f>
        <v>11248</v>
      </c>
      <c r="J892" s="5">
        <f t="shared" si="4"/>
        <v>0</v>
      </c>
    </row>
    <row r="893">
      <c r="A893" s="5" t="str">
        <f>Raw_Data!A893</f>
        <v>TRK100891</v>
      </c>
      <c r="B893" s="5" t="str">
        <f>TRIM(Raw_Data!B893)</f>
        <v>Delhivery</v>
      </c>
      <c r="C893" s="5" t="str">
        <f>TRIM(Raw_Data!C893)</f>
        <v>Tier 3</v>
      </c>
      <c r="D893" s="6">
        <f>DATEVALUE(TEXT(Raw_Data!D893, "YYYY-MM-DD"))</f>
        <v>46079</v>
      </c>
      <c r="E893" s="6">
        <f>IF(ISBLANK(Raw_Data!E893), "", DATEVALUE(TEXT(Raw_Data!E893, "YYYY-MM-DD")))</f>
        <v>46087</v>
      </c>
      <c r="F893" s="5">
        <f t="shared" si="1"/>
        <v>6</v>
      </c>
      <c r="G893" s="5">
        <f t="shared" si="2"/>
        <v>7</v>
      </c>
      <c r="H893" s="5" t="str">
        <f t="shared" si="3"/>
        <v>SLA BREACH</v>
      </c>
      <c r="I893" s="5">
        <f>Raw_Data!F893</f>
        <v>4225</v>
      </c>
      <c r="J893" s="5">
        <f t="shared" si="4"/>
        <v>211.25</v>
      </c>
    </row>
    <row r="894">
      <c r="A894" s="5" t="str">
        <f>Raw_Data!A894</f>
        <v>TRK100892</v>
      </c>
      <c r="B894" s="5" t="str">
        <f>TRIM(Raw_Data!B894)</f>
        <v>EcomExpress</v>
      </c>
      <c r="C894" s="5" t="str">
        <f>TRIM(Raw_Data!C894)</f>
        <v>Tier 2</v>
      </c>
      <c r="D894" s="6">
        <f>DATEVALUE(TEXT(Raw_Data!D894, "YYYY-MM-DD"))</f>
        <v>46051</v>
      </c>
      <c r="E894" s="6">
        <f>IF(ISBLANK(Raw_Data!E894), "", DATEVALUE(TEXT(Raw_Data!E894, "YYYY-MM-DD")))</f>
        <v>46057</v>
      </c>
      <c r="F894" s="5">
        <f t="shared" si="1"/>
        <v>4</v>
      </c>
      <c r="G894" s="5">
        <f t="shared" si="2"/>
        <v>5</v>
      </c>
      <c r="H894" s="5" t="str">
        <f t="shared" si="3"/>
        <v>SLA BREACH</v>
      </c>
      <c r="I894" s="5">
        <f>Raw_Data!F894</f>
        <v>5076</v>
      </c>
      <c r="J894" s="5">
        <f t="shared" si="4"/>
        <v>253.8</v>
      </c>
    </row>
    <row r="895">
      <c r="A895" s="5" t="str">
        <f>Raw_Data!A895</f>
        <v>TRK100893</v>
      </c>
      <c r="B895" s="5" t="str">
        <f>TRIM(Raw_Data!B895)</f>
        <v>Delhivery</v>
      </c>
      <c r="C895" s="5" t="str">
        <f>TRIM(Raw_Data!C895)</f>
        <v>Tier 2</v>
      </c>
      <c r="D895" s="6">
        <f>DATEVALUE(TEXT(Raw_Data!D895, "YYYY-MM-DD"))</f>
        <v>46050</v>
      </c>
      <c r="E895" s="6">
        <f>IF(ISBLANK(Raw_Data!E895), "", DATEVALUE(TEXT(Raw_Data!E895, "YYYY-MM-DD")))</f>
        <v>46054</v>
      </c>
      <c r="F895" s="5">
        <f t="shared" si="1"/>
        <v>4</v>
      </c>
      <c r="G895" s="5">
        <f t="shared" si="2"/>
        <v>3</v>
      </c>
      <c r="H895" s="5" t="str">
        <f t="shared" si="3"/>
        <v>ON TIME</v>
      </c>
      <c r="I895" s="5">
        <f>Raw_Data!F895</f>
        <v>6282</v>
      </c>
      <c r="J895" s="5">
        <f t="shared" si="4"/>
        <v>0</v>
      </c>
    </row>
    <row r="896">
      <c r="A896" s="5" t="str">
        <f>Raw_Data!A896</f>
        <v>TRK100894</v>
      </c>
      <c r="B896" s="5" t="str">
        <f>TRIM(Raw_Data!B896)</f>
        <v>Delhivery</v>
      </c>
      <c r="C896" s="5" t="str">
        <f>TRIM(Raw_Data!C896)</f>
        <v>Tier 2</v>
      </c>
      <c r="D896" s="6">
        <f>DATEVALUE(TEXT(Raw_Data!D896, "YYYY-MM-DD"))</f>
        <v>46023</v>
      </c>
      <c r="E896" s="6">
        <f>IF(ISBLANK(Raw_Data!E896), "", DATEVALUE(TEXT(Raw_Data!E896, "YYYY-MM-DD")))</f>
        <v>46027</v>
      </c>
      <c r="F896" s="5">
        <f t="shared" si="1"/>
        <v>4</v>
      </c>
      <c r="G896" s="5">
        <f t="shared" si="2"/>
        <v>3</v>
      </c>
      <c r="H896" s="5" t="str">
        <f t="shared" si="3"/>
        <v>ON TIME</v>
      </c>
      <c r="I896" s="5">
        <f>Raw_Data!F896</f>
        <v>6757</v>
      </c>
      <c r="J896" s="5">
        <f t="shared" si="4"/>
        <v>0</v>
      </c>
    </row>
    <row r="897">
      <c r="A897" s="5" t="str">
        <f>Raw_Data!A897</f>
        <v>TRK100895</v>
      </c>
      <c r="B897" s="5" t="str">
        <f>TRIM(Raw_Data!B897)</f>
        <v>Delhivery</v>
      </c>
      <c r="C897" s="5" t="str">
        <f>TRIM(Raw_Data!C897)</f>
        <v>Tier 3</v>
      </c>
      <c r="D897" s="6">
        <f>DATEVALUE(TEXT(Raw_Data!D897, "YYYY-MM-DD"))</f>
        <v>46036</v>
      </c>
      <c r="E897" s="6">
        <f>IF(ISBLANK(Raw_Data!E897), "", DATEVALUE(TEXT(Raw_Data!E897, "YYYY-MM-DD")))</f>
        <v>46042</v>
      </c>
      <c r="F897" s="5">
        <f t="shared" si="1"/>
        <v>6</v>
      </c>
      <c r="G897" s="5">
        <f t="shared" si="2"/>
        <v>5</v>
      </c>
      <c r="H897" s="5" t="str">
        <f t="shared" si="3"/>
        <v>ON TIME</v>
      </c>
      <c r="I897" s="5">
        <f>Raw_Data!F897</f>
        <v>10293</v>
      </c>
      <c r="J897" s="5">
        <f t="shared" si="4"/>
        <v>0</v>
      </c>
    </row>
    <row r="898">
      <c r="A898" s="5" t="str">
        <f>Raw_Data!A898</f>
        <v>TRK100896</v>
      </c>
      <c r="B898" s="5" t="str">
        <f>TRIM(Raw_Data!B898)</f>
        <v>EcomExpress</v>
      </c>
      <c r="C898" s="5" t="str">
        <f>TRIM(Raw_Data!C898)</f>
        <v>Tier 3</v>
      </c>
      <c r="D898" s="6">
        <f>DATEVALUE(TEXT(Raw_Data!D898, "YYYY-MM-DD"))</f>
        <v>46040</v>
      </c>
      <c r="E898" s="6">
        <f>IF(ISBLANK(Raw_Data!E898), "", DATEVALUE(TEXT(Raw_Data!E898, "YYYY-MM-DD")))</f>
        <v>46046</v>
      </c>
      <c r="F898" s="5">
        <f t="shared" si="1"/>
        <v>6</v>
      </c>
      <c r="G898" s="5">
        <f t="shared" si="2"/>
        <v>5</v>
      </c>
      <c r="H898" s="5" t="str">
        <f t="shared" si="3"/>
        <v>ON TIME</v>
      </c>
      <c r="I898" s="5">
        <f>Raw_Data!F898</f>
        <v>2908</v>
      </c>
      <c r="J898" s="5">
        <f t="shared" si="4"/>
        <v>0</v>
      </c>
    </row>
    <row r="899">
      <c r="A899" s="5" t="str">
        <f>Raw_Data!A899</f>
        <v>TRK100897</v>
      </c>
      <c r="B899" s="5" t="str">
        <f>TRIM(Raw_Data!B899)</f>
        <v>BlueDart</v>
      </c>
      <c r="C899" s="5" t="str">
        <f>TRIM(Raw_Data!C899)</f>
        <v>Tier 3</v>
      </c>
      <c r="D899" s="6">
        <f>DATEVALUE(TEXT(Raw_Data!D899, "YYYY-MM-DD"))</f>
        <v>46068</v>
      </c>
      <c r="E899" s="6">
        <f>IF(ISBLANK(Raw_Data!E899), "", DATEVALUE(TEXT(Raw_Data!E899, "YYYY-MM-DD")))</f>
        <v>46076</v>
      </c>
      <c r="F899" s="5">
        <f t="shared" si="1"/>
        <v>6</v>
      </c>
      <c r="G899" s="5">
        <f t="shared" si="2"/>
        <v>6</v>
      </c>
      <c r="H899" s="5" t="str">
        <f t="shared" si="3"/>
        <v>ON TIME</v>
      </c>
      <c r="I899" s="5">
        <f>Raw_Data!F899</f>
        <v>840</v>
      </c>
      <c r="J899" s="5">
        <f t="shared" si="4"/>
        <v>0</v>
      </c>
    </row>
    <row r="900">
      <c r="A900" s="5" t="str">
        <f>Raw_Data!A900</f>
        <v>TRK100898</v>
      </c>
      <c r="B900" s="5" t="str">
        <f>TRIM(Raw_Data!B900)</f>
        <v>BlueDart</v>
      </c>
      <c r="C900" s="5" t="str">
        <f>TRIM(Raw_Data!C900)</f>
        <v>Metro</v>
      </c>
      <c r="D900" s="6">
        <f>DATEVALUE(TEXT(Raw_Data!D900, "YYYY-MM-DD"))</f>
        <v>46073</v>
      </c>
      <c r="E900" s="6">
        <f>IF(ISBLANK(Raw_Data!E900), "", DATEVALUE(TEXT(Raw_Data!E900, "YYYY-MM-DD")))</f>
        <v>46075</v>
      </c>
      <c r="F900" s="5">
        <f t="shared" si="1"/>
        <v>2</v>
      </c>
      <c r="G900" s="5">
        <f t="shared" si="2"/>
        <v>1</v>
      </c>
      <c r="H900" s="5" t="str">
        <f t="shared" si="3"/>
        <v>ON TIME</v>
      </c>
      <c r="I900" s="5">
        <f>Raw_Data!F900</f>
        <v>3317</v>
      </c>
      <c r="J900" s="5">
        <f t="shared" si="4"/>
        <v>0</v>
      </c>
    </row>
    <row r="901">
      <c r="A901" s="5" t="str">
        <f>Raw_Data!A901</f>
        <v>TRK100899</v>
      </c>
      <c r="B901" s="5" t="str">
        <f>TRIM(Raw_Data!B901)</f>
        <v>EcomExpress</v>
      </c>
      <c r="C901" s="5" t="str">
        <f>TRIM(Raw_Data!C901)</f>
        <v>Tier 2</v>
      </c>
      <c r="D901" s="6">
        <f>DATEVALUE(TEXT(Raw_Data!D901, "YYYY-MM-DD"))</f>
        <v>46059</v>
      </c>
      <c r="E901" s="6">
        <f>IF(ISBLANK(Raw_Data!E901), "", DATEVALUE(TEXT(Raw_Data!E901, "YYYY-MM-DD")))</f>
        <v>46063</v>
      </c>
      <c r="F901" s="5">
        <f t="shared" si="1"/>
        <v>4</v>
      </c>
      <c r="G901" s="5">
        <f t="shared" si="2"/>
        <v>3</v>
      </c>
      <c r="H901" s="5" t="str">
        <f t="shared" si="3"/>
        <v>ON TIME</v>
      </c>
      <c r="I901" s="5">
        <f>Raw_Data!F901</f>
        <v>2996</v>
      </c>
      <c r="J901" s="5">
        <f t="shared" si="4"/>
        <v>0</v>
      </c>
    </row>
    <row r="902">
      <c r="A902" s="5" t="str">
        <f>Raw_Data!A902</f>
        <v>TRK100900</v>
      </c>
      <c r="B902" s="5" t="str">
        <f>TRIM(Raw_Data!B902)</f>
        <v>Delhivery</v>
      </c>
      <c r="C902" s="5" t="str">
        <f>TRIM(Raw_Data!C902)</f>
        <v>Metro</v>
      </c>
      <c r="D902" s="6">
        <f>DATEVALUE(TEXT(Raw_Data!D902, "YYYY-MM-DD"))</f>
        <v>46074</v>
      </c>
      <c r="E902" s="6">
        <f>IF(ISBLANK(Raw_Data!E902), "", DATEVALUE(TEXT(Raw_Data!E902, "YYYY-MM-DD")))</f>
        <v>46076</v>
      </c>
      <c r="F902" s="5">
        <f t="shared" si="1"/>
        <v>2</v>
      </c>
      <c r="G902" s="5">
        <f t="shared" si="2"/>
        <v>1</v>
      </c>
      <c r="H902" s="5" t="str">
        <f t="shared" si="3"/>
        <v>ON TIME</v>
      </c>
      <c r="I902" s="5">
        <f>Raw_Data!F902</f>
        <v>6462</v>
      </c>
      <c r="J902" s="5">
        <f t="shared" si="4"/>
        <v>0</v>
      </c>
    </row>
    <row r="903">
      <c r="A903" s="5" t="str">
        <f>Raw_Data!A903</f>
        <v>TRK100901</v>
      </c>
      <c r="B903" s="5" t="str">
        <f>TRIM(Raw_Data!B903)</f>
        <v>EcomExpress</v>
      </c>
      <c r="C903" s="5" t="str">
        <f>TRIM(Raw_Data!C903)</f>
        <v>Tier 3</v>
      </c>
      <c r="D903" s="6">
        <f>DATEVALUE(TEXT(Raw_Data!D903, "YYYY-MM-DD"))</f>
        <v>46034</v>
      </c>
      <c r="E903" s="6">
        <f>IF(ISBLANK(Raw_Data!E903), "", DATEVALUE(TEXT(Raw_Data!E903, "YYYY-MM-DD")))</f>
        <v>46040</v>
      </c>
      <c r="F903" s="5">
        <f t="shared" si="1"/>
        <v>6</v>
      </c>
      <c r="G903" s="5">
        <f t="shared" si="2"/>
        <v>5</v>
      </c>
      <c r="H903" s="5" t="str">
        <f t="shared" si="3"/>
        <v>ON TIME</v>
      </c>
      <c r="I903" s="5">
        <f>Raw_Data!F903</f>
        <v>5799</v>
      </c>
      <c r="J903" s="5">
        <f t="shared" si="4"/>
        <v>0</v>
      </c>
    </row>
    <row r="904">
      <c r="A904" s="5" t="str">
        <f>Raw_Data!A904</f>
        <v>TRK100902</v>
      </c>
      <c r="B904" s="5" t="str">
        <f>TRIM(Raw_Data!B904)</f>
        <v>BlueDart</v>
      </c>
      <c r="C904" s="5" t="str">
        <f>TRIM(Raw_Data!C904)</f>
        <v>Tier 3</v>
      </c>
      <c r="D904" s="6">
        <f>DATEVALUE(TEXT(Raw_Data!D904, "YYYY-MM-DD"))</f>
        <v>46043</v>
      </c>
      <c r="E904" s="6">
        <f>IF(ISBLANK(Raw_Data!E904), "", DATEVALUE(TEXT(Raw_Data!E904, "YYYY-MM-DD")))</f>
        <v>46049</v>
      </c>
      <c r="F904" s="5">
        <f t="shared" si="1"/>
        <v>6</v>
      </c>
      <c r="G904" s="5">
        <f t="shared" si="2"/>
        <v>5</v>
      </c>
      <c r="H904" s="5" t="str">
        <f t="shared" si="3"/>
        <v>ON TIME</v>
      </c>
      <c r="I904" s="5">
        <f>Raw_Data!F904</f>
        <v>10417</v>
      </c>
      <c r="J904" s="5">
        <f t="shared" si="4"/>
        <v>0</v>
      </c>
    </row>
    <row r="905">
      <c r="A905" s="5" t="str">
        <f>Raw_Data!A905</f>
        <v>TRK100903</v>
      </c>
      <c r="B905" s="5" t="str">
        <f>TRIM(Raw_Data!B905)</f>
        <v>EcomExpress</v>
      </c>
      <c r="C905" s="5" t="str">
        <f>TRIM(Raw_Data!C905)</f>
        <v>Metro</v>
      </c>
      <c r="D905" s="6">
        <f>DATEVALUE(TEXT(Raw_Data!D905, "YYYY-MM-DD"))</f>
        <v>46052</v>
      </c>
      <c r="E905" s="6">
        <f>IF(ISBLANK(Raw_Data!E905), "", DATEVALUE(TEXT(Raw_Data!E905, "YYYY-MM-DD")))</f>
        <v>46054</v>
      </c>
      <c r="F905" s="5">
        <f t="shared" si="1"/>
        <v>2</v>
      </c>
      <c r="G905" s="5">
        <f t="shared" si="2"/>
        <v>1</v>
      </c>
      <c r="H905" s="5" t="str">
        <f t="shared" si="3"/>
        <v>ON TIME</v>
      </c>
      <c r="I905" s="5">
        <f>Raw_Data!F905</f>
        <v>8074</v>
      </c>
      <c r="J905" s="5">
        <f t="shared" si="4"/>
        <v>0</v>
      </c>
    </row>
    <row r="906">
      <c r="A906" s="5" t="str">
        <f>Raw_Data!A906</f>
        <v>TRK100904</v>
      </c>
      <c r="B906" s="5" t="str">
        <f>TRIM(Raw_Data!B906)</f>
        <v>EcomExpress</v>
      </c>
      <c r="C906" s="5" t="str">
        <f>TRIM(Raw_Data!C906)</f>
        <v>Tier 2</v>
      </c>
      <c r="D906" s="6">
        <f>DATEVALUE(TEXT(Raw_Data!D906, "YYYY-MM-DD"))</f>
        <v>46039</v>
      </c>
      <c r="E906" s="6" t="str">
        <f>IF(ISBLANK(Raw_Data!E906), "", DATEVALUE(TEXT(Raw_Data!E906, "YYYY-MM-DD")))</f>
        <v/>
      </c>
      <c r="F906" s="5">
        <f t="shared" si="1"/>
        <v>4</v>
      </c>
      <c r="G906" s="5" t="str">
        <f t="shared" si="2"/>
        <v>In-Transit</v>
      </c>
      <c r="H906" s="5" t="str">
        <f t="shared" si="3"/>
        <v>Pending</v>
      </c>
      <c r="I906" s="5">
        <f>Raw_Data!F906</f>
        <v>2189</v>
      </c>
      <c r="J906" s="5">
        <f t="shared" si="4"/>
        <v>0</v>
      </c>
    </row>
    <row r="907">
      <c r="A907" s="5" t="str">
        <f>Raw_Data!A907</f>
        <v>TRK100905</v>
      </c>
      <c r="B907" s="5" t="str">
        <f>TRIM(Raw_Data!B907)</f>
        <v>BlueDart</v>
      </c>
      <c r="C907" s="5" t="str">
        <f>TRIM(Raw_Data!C907)</f>
        <v>Tier 2</v>
      </c>
      <c r="D907" s="6">
        <f>DATEVALUE(TEXT(Raw_Data!D907, "YYYY-MM-DD"))</f>
        <v>46078</v>
      </c>
      <c r="E907" s="6">
        <f>IF(ISBLANK(Raw_Data!E907), "", DATEVALUE(TEXT(Raw_Data!E907, "YYYY-MM-DD")))</f>
        <v>46084</v>
      </c>
      <c r="F907" s="5">
        <f t="shared" si="1"/>
        <v>4</v>
      </c>
      <c r="G907" s="5">
        <f t="shared" si="2"/>
        <v>5</v>
      </c>
      <c r="H907" s="5" t="str">
        <f t="shared" si="3"/>
        <v>SLA BREACH</v>
      </c>
      <c r="I907" s="5">
        <f>Raw_Data!F907</f>
        <v>3767</v>
      </c>
      <c r="J907" s="5">
        <f t="shared" si="4"/>
        <v>188.35</v>
      </c>
    </row>
    <row r="908">
      <c r="A908" s="5" t="str">
        <f>Raw_Data!A908</f>
        <v>TRK100906</v>
      </c>
      <c r="B908" s="5" t="str">
        <f>TRIM(Raw_Data!B908)</f>
        <v>BlueDart</v>
      </c>
      <c r="C908" s="5" t="str">
        <f>TRIM(Raw_Data!C908)</f>
        <v>Tier 3</v>
      </c>
      <c r="D908" s="6">
        <f>DATEVALUE(TEXT(Raw_Data!D908, "YYYY-MM-DD"))</f>
        <v>46056</v>
      </c>
      <c r="E908" s="6">
        <f>IF(ISBLANK(Raw_Data!E908), "", DATEVALUE(TEXT(Raw_Data!E908, "YYYY-MM-DD")))</f>
        <v>46063</v>
      </c>
      <c r="F908" s="5">
        <f t="shared" si="1"/>
        <v>6</v>
      </c>
      <c r="G908" s="5">
        <f t="shared" si="2"/>
        <v>6</v>
      </c>
      <c r="H908" s="5" t="str">
        <f t="shared" si="3"/>
        <v>ON TIME</v>
      </c>
      <c r="I908" s="5">
        <f>Raw_Data!F908</f>
        <v>4906</v>
      </c>
      <c r="J908" s="5">
        <f t="shared" si="4"/>
        <v>0</v>
      </c>
    </row>
    <row r="909">
      <c r="A909" s="5" t="str">
        <f>Raw_Data!A909</f>
        <v>TRK100907</v>
      </c>
      <c r="B909" s="5" t="str">
        <f>TRIM(Raw_Data!B909)</f>
        <v>Delhivery</v>
      </c>
      <c r="C909" s="5" t="str">
        <f>TRIM(Raw_Data!C909)</f>
        <v>Tier 3</v>
      </c>
      <c r="D909" s="6">
        <f>DATEVALUE(TEXT(Raw_Data!D909, "YYYY-MM-DD"))</f>
        <v>46043</v>
      </c>
      <c r="E909" s="6">
        <f>IF(ISBLANK(Raw_Data!E909), "", DATEVALUE(TEXT(Raw_Data!E909, "YYYY-MM-DD")))</f>
        <v>46049</v>
      </c>
      <c r="F909" s="5">
        <f t="shared" si="1"/>
        <v>6</v>
      </c>
      <c r="G909" s="5">
        <f t="shared" si="2"/>
        <v>5</v>
      </c>
      <c r="H909" s="5" t="str">
        <f t="shared" si="3"/>
        <v>ON TIME</v>
      </c>
      <c r="I909" s="5">
        <f>Raw_Data!F909</f>
        <v>8953</v>
      </c>
      <c r="J909" s="5">
        <f t="shared" si="4"/>
        <v>0</v>
      </c>
    </row>
    <row r="910">
      <c r="A910" s="5" t="str">
        <f>Raw_Data!A910</f>
        <v>TRK100908</v>
      </c>
      <c r="B910" s="5" t="str">
        <f>TRIM(Raw_Data!B910)</f>
        <v>Delhivery</v>
      </c>
      <c r="C910" s="5" t="str">
        <f>TRIM(Raw_Data!C910)</f>
        <v>Tier 3</v>
      </c>
      <c r="D910" s="6">
        <f>DATEVALUE(TEXT(Raw_Data!D910, "YYYY-MM-DD"))</f>
        <v>46047</v>
      </c>
      <c r="E910" s="6">
        <f>IF(ISBLANK(Raw_Data!E910), "", DATEVALUE(TEXT(Raw_Data!E910, "YYYY-MM-DD")))</f>
        <v>46053</v>
      </c>
      <c r="F910" s="5">
        <f t="shared" si="1"/>
        <v>6</v>
      </c>
      <c r="G910" s="5">
        <f t="shared" si="2"/>
        <v>5</v>
      </c>
      <c r="H910" s="5" t="str">
        <f t="shared" si="3"/>
        <v>ON TIME</v>
      </c>
      <c r="I910" s="5">
        <f>Raw_Data!F910</f>
        <v>1942</v>
      </c>
      <c r="J910" s="5">
        <f t="shared" si="4"/>
        <v>0</v>
      </c>
    </row>
    <row r="911">
      <c r="A911" s="5" t="str">
        <f>Raw_Data!A911</f>
        <v>TRK100909</v>
      </c>
      <c r="B911" s="5" t="str">
        <f>TRIM(Raw_Data!B911)</f>
        <v>BlueDart</v>
      </c>
      <c r="C911" s="5" t="str">
        <f>TRIM(Raw_Data!C911)</f>
        <v>Tier 2</v>
      </c>
      <c r="D911" s="6">
        <f>DATEVALUE(TEXT(Raw_Data!D911, "YYYY-MM-DD"))</f>
        <v>46048</v>
      </c>
      <c r="E911" s="6">
        <f>IF(ISBLANK(Raw_Data!E911), "", DATEVALUE(TEXT(Raw_Data!E911, "YYYY-MM-DD")))</f>
        <v>46052</v>
      </c>
      <c r="F911" s="5">
        <f t="shared" si="1"/>
        <v>4</v>
      </c>
      <c r="G911" s="5">
        <f t="shared" si="2"/>
        <v>5</v>
      </c>
      <c r="H911" s="5" t="str">
        <f t="shared" si="3"/>
        <v>SLA BREACH</v>
      </c>
      <c r="I911" s="5">
        <f>Raw_Data!F911</f>
        <v>9097</v>
      </c>
      <c r="J911" s="5">
        <f t="shared" si="4"/>
        <v>454.85</v>
      </c>
    </row>
    <row r="912">
      <c r="A912" s="5" t="str">
        <f>Raw_Data!A912</f>
        <v>TRK100910</v>
      </c>
      <c r="B912" s="5" t="str">
        <f>TRIM(Raw_Data!B912)</f>
        <v>Delhivery</v>
      </c>
      <c r="C912" s="5" t="str">
        <f>TRIM(Raw_Data!C912)</f>
        <v>Metro</v>
      </c>
      <c r="D912" s="6">
        <f>DATEVALUE(TEXT(Raw_Data!D912, "YYYY-MM-DD"))</f>
        <v>46030</v>
      </c>
      <c r="E912" s="6">
        <f>IF(ISBLANK(Raw_Data!E912), "", DATEVALUE(TEXT(Raw_Data!E912, "YYYY-MM-DD")))</f>
        <v>46032</v>
      </c>
      <c r="F912" s="5">
        <f t="shared" si="1"/>
        <v>2</v>
      </c>
      <c r="G912" s="5">
        <f t="shared" si="2"/>
        <v>2</v>
      </c>
      <c r="H912" s="5" t="str">
        <f t="shared" si="3"/>
        <v>ON TIME</v>
      </c>
      <c r="I912" s="5">
        <f>Raw_Data!F912</f>
        <v>10882</v>
      </c>
      <c r="J912" s="5">
        <f t="shared" si="4"/>
        <v>0</v>
      </c>
    </row>
    <row r="913">
      <c r="A913" s="5" t="str">
        <f>Raw_Data!A913</f>
        <v>TRK100911</v>
      </c>
      <c r="B913" s="5" t="str">
        <f>TRIM(Raw_Data!B913)</f>
        <v>BlueDart</v>
      </c>
      <c r="C913" s="5" t="str">
        <f>TRIM(Raw_Data!C913)</f>
        <v>Tier 3</v>
      </c>
      <c r="D913" s="6">
        <f>DATEVALUE(TEXT(Raw_Data!D913, "YYYY-MM-DD"))</f>
        <v>46045</v>
      </c>
      <c r="E913" s="6">
        <f>IF(ISBLANK(Raw_Data!E913), "", DATEVALUE(TEXT(Raw_Data!E913, "YYYY-MM-DD")))</f>
        <v>46051</v>
      </c>
      <c r="F913" s="5">
        <f t="shared" si="1"/>
        <v>6</v>
      </c>
      <c r="G913" s="5">
        <f t="shared" si="2"/>
        <v>5</v>
      </c>
      <c r="H913" s="5" t="str">
        <f t="shared" si="3"/>
        <v>ON TIME</v>
      </c>
      <c r="I913" s="5">
        <f>Raw_Data!F913</f>
        <v>4937</v>
      </c>
      <c r="J913" s="5">
        <f t="shared" si="4"/>
        <v>0</v>
      </c>
    </row>
    <row r="914">
      <c r="A914" s="5" t="str">
        <f>Raw_Data!A914</f>
        <v>TRK100912</v>
      </c>
      <c r="B914" s="5" t="str">
        <f>TRIM(Raw_Data!B914)</f>
        <v>EcomExpress</v>
      </c>
      <c r="C914" s="5" t="str">
        <f>TRIM(Raw_Data!C914)</f>
        <v>Tier 3</v>
      </c>
      <c r="D914" s="6">
        <f>DATEVALUE(TEXT(Raw_Data!D914, "YYYY-MM-DD"))</f>
        <v>46062</v>
      </c>
      <c r="E914" s="6">
        <f>IF(ISBLANK(Raw_Data!E914), "", DATEVALUE(TEXT(Raw_Data!E914, "YYYY-MM-DD")))</f>
        <v>46068</v>
      </c>
      <c r="F914" s="5">
        <f t="shared" si="1"/>
        <v>6</v>
      </c>
      <c r="G914" s="5">
        <f t="shared" si="2"/>
        <v>5</v>
      </c>
      <c r="H914" s="5" t="str">
        <f t="shared" si="3"/>
        <v>ON TIME</v>
      </c>
      <c r="I914" s="5">
        <f>Raw_Data!F914</f>
        <v>5935</v>
      </c>
      <c r="J914" s="5">
        <f t="shared" si="4"/>
        <v>0</v>
      </c>
    </row>
    <row r="915">
      <c r="A915" s="5" t="str">
        <f>Raw_Data!A915</f>
        <v>TRK100913</v>
      </c>
      <c r="B915" s="5" t="str">
        <f>TRIM(Raw_Data!B915)</f>
        <v>Delhivery</v>
      </c>
      <c r="C915" s="5" t="str">
        <f>TRIM(Raw_Data!C915)</f>
        <v>Metro</v>
      </c>
      <c r="D915" s="6">
        <f>DATEVALUE(TEXT(Raw_Data!D915, "YYYY-MM-DD"))</f>
        <v>46075</v>
      </c>
      <c r="E915" s="6">
        <f>IF(ISBLANK(Raw_Data!E915), "", DATEVALUE(TEXT(Raw_Data!E915, "YYYY-MM-DD")))</f>
        <v>46077</v>
      </c>
      <c r="F915" s="5">
        <f t="shared" si="1"/>
        <v>2</v>
      </c>
      <c r="G915" s="5">
        <f t="shared" si="2"/>
        <v>2</v>
      </c>
      <c r="H915" s="5" t="str">
        <f t="shared" si="3"/>
        <v>ON TIME</v>
      </c>
      <c r="I915" s="5">
        <f>Raw_Data!F915</f>
        <v>8935</v>
      </c>
      <c r="J915" s="5">
        <f t="shared" si="4"/>
        <v>0</v>
      </c>
    </row>
    <row r="916">
      <c r="A916" s="5" t="str">
        <f>Raw_Data!A916</f>
        <v>TRK100914</v>
      </c>
      <c r="B916" s="5" t="str">
        <f>TRIM(Raw_Data!B916)</f>
        <v>BlueDart</v>
      </c>
      <c r="C916" s="5" t="str">
        <f>TRIM(Raw_Data!C916)</f>
        <v>Tier 2</v>
      </c>
      <c r="D916" s="6">
        <f>DATEVALUE(TEXT(Raw_Data!D916, "YYYY-MM-DD"))</f>
        <v>46068</v>
      </c>
      <c r="E916" s="6">
        <f>IF(ISBLANK(Raw_Data!E916), "", DATEVALUE(TEXT(Raw_Data!E916, "YYYY-MM-DD")))</f>
        <v>46072</v>
      </c>
      <c r="F916" s="5">
        <f t="shared" si="1"/>
        <v>4</v>
      </c>
      <c r="G916" s="5">
        <f t="shared" si="2"/>
        <v>4</v>
      </c>
      <c r="H916" s="5" t="str">
        <f t="shared" si="3"/>
        <v>ON TIME</v>
      </c>
      <c r="I916" s="5">
        <f>Raw_Data!F916</f>
        <v>4607</v>
      </c>
      <c r="J916" s="5">
        <f t="shared" si="4"/>
        <v>0</v>
      </c>
    </row>
    <row r="917">
      <c r="A917" s="5" t="str">
        <f>Raw_Data!A917</f>
        <v>TRK100915</v>
      </c>
      <c r="B917" s="5" t="str">
        <f>TRIM(Raw_Data!B917)</f>
        <v>EcomExpress</v>
      </c>
      <c r="C917" s="5" t="str">
        <f>TRIM(Raw_Data!C917)</f>
        <v>Tier 3</v>
      </c>
      <c r="D917" s="6">
        <f>DATEVALUE(TEXT(Raw_Data!D917, "YYYY-MM-DD"))</f>
        <v>46042</v>
      </c>
      <c r="E917" s="6">
        <f>IF(ISBLANK(Raw_Data!E917), "", DATEVALUE(TEXT(Raw_Data!E917, "YYYY-MM-DD")))</f>
        <v>46048</v>
      </c>
      <c r="F917" s="5">
        <f t="shared" si="1"/>
        <v>6</v>
      </c>
      <c r="G917" s="5">
        <f t="shared" si="2"/>
        <v>5</v>
      </c>
      <c r="H917" s="5" t="str">
        <f t="shared" si="3"/>
        <v>ON TIME</v>
      </c>
      <c r="I917" s="5">
        <f>Raw_Data!F917</f>
        <v>1060</v>
      </c>
      <c r="J917" s="5">
        <f t="shared" si="4"/>
        <v>0</v>
      </c>
    </row>
    <row r="918">
      <c r="A918" s="5" t="str">
        <f>Raw_Data!A918</f>
        <v>TRK100916</v>
      </c>
      <c r="B918" s="5" t="str">
        <f>TRIM(Raw_Data!B918)</f>
        <v>EcomExpress</v>
      </c>
      <c r="C918" s="5" t="str">
        <f>TRIM(Raw_Data!C918)</f>
        <v>Tier 2</v>
      </c>
      <c r="D918" s="6">
        <f>DATEVALUE(TEXT(Raw_Data!D918, "YYYY-MM-DD"))</f>
        <v>46060</v>
      </c>
      <c r="E918" s="6">
        <f>IF(ISBLANK(Raw_Data!E918), "", DATEVALUE(TEXT(Raw_Data!E918, "YYYY-MM-DD")))</f>
        <v>46064</v>
      </c>
      <c r="F918" s="5">
        <f t="shared" si="1"/>
        <v>4</v>
      </c>
      <c r="G918" s="5">
        <f t="shared" si="2"/>
        <v>3</v>
      </c>
      <c r="H918" s="5" t="str">
        <f t="shared" si="3"/>
        <v>ON TIME</v>
      </c>
      <c r="I918" s="5">
        <f>Raw_Data!F918</f>
        <v>11417</v>
      </c>
      <c r="J918" s="5">
        <f t="shared" si="4"/>
        <v>0</v>
      </c>
    </row>
    <row r="919">
      <c r="A919" s="5" t="str">
        <f>Raw_Data!A919</f>
        <v>TRK100917</v>
      </c>
      <c r="B919" s="5" t="str">
        <f>TRIM(Raw_Data!B919)</f>
        <v>BlueDart</v>
      </c>
      <c r="C919" s="5" t="str">
        <f>TRIM(Raw_Data!C919)</f>
        <v>Tier 3</v>
      </c>
      <c r="D919" s="6">
        <f>DATEVALUE(TEXT(Raw_Data!D919, "YYYY-MM-DD"))</f>
        <v>46066</v>
      </c>
      <c r="E919" s="6">
        <f>IF(ISBLANK(Raw_Data!E919), "", DATEVALUE(TEXT(Raw_Data!E919, "YYYY-MM-DD")))</f>
        <v>46075</v>
      </c>
      <c r="F919" s="5">
        <f t="shared" si="1"/>
        <v>6</v>
      </c>
      <c r="G919" s="5">
        <f t="shared" si="2"/>
        <v>6</v>
      </c>
      <c r="H919" s="5" t="str">
        <f t="shared" si="3"/>
        <v>ON TIME</v>
      </c>
      <c r="I919" s="5">
        <f>Raw_Data!F919</f>
        <v>9285</v>
      </c>
      <c r="J919" s="5">
        <f t="shared" si="4"/>
        <v>0</v>
      </c>
    </row>
    <row r="920">
      <c r="A920" s="5" t="str">
        <f>Raw_Data!A920</f>
        <v>TRK100918</v>
      </c>
      <c r="B920" s="5" t="str">
        <f>TRIM(Raw_Data!B920)</f>
        <v>BlueDart</v>
      </c>
      <c r="C920" s="5" t="str">
        <f>TRIM(Raw_Data!C920)</f>
        <v>Tier 2</v>
      </c>
      <c r="D920" s="6">
        <f>DATEVALUE(TEXT(Raw_Data!D920, "YYYY-MM-DD"))</f>
        <v>46043</v>
      </c>
      <c r="E920" s="6">
        <f>IF(ISBLANK(Raw_Data!E920), "", DATEVALUE(TEXT(Raw_Data!E920, "YYYY-MM-DD")))</f>
        <v>46048</v>
      </c>
      <c r="F920" s="5">
        <f t="shared" si="1"/>
        <v>4</v>
      </c>
      <c r="G920" s="5">
        <f t="shared" si="2"/>
        <v>4</v>
      </c>
      <c r="H920" s="5" t="str">
        <f t="shared" si="3"/>
        <v>ON TIME</v>
      </c>
      <c r="I920" s="5">
        <f>Raw_Data!F920</f>
        <v>6048</v>
      </c>
      <c r="J920" s="5">
        <f t="shared" si="4"/>
        <v>0</v>
      </c>
    </row>
    <row r="921">
      <c r="A921" s="5" t="str">
        <f>Raw_Data!A921</f>
        <v>TRK100919</v>
      </c>
      <c r="B921" s="5" t="str">
        <f>TRIM(Raw_Data!B921)</f>
        <v>EcomExpress</v>
      </c>
      <c r="C921" s="5" t="str">
        <f>TRIM(Raw_Data!C921)</f>
        <v>Metro</v>
      </c>
      <c r="D921" s="6">
        <f>DATEVALUE(TEXT(Raw_Data!D921, "YYYY-MM-DD"))</f>
        <v>46038</v>
      </c>
      <c r="E921" s="6">
        <f>IF(ISBLANK(Raw_Data!E921), "", DATEVALUE(TEXT(Raw_Data!E921, "YYYY-MM-DD")))</f>
        <v>46040</v>
      </c>
      <c r="F921" s="5">
        <f t="shared" si="1"/>
        <v>2</v>
      </c>
      <c r="G921" s="5">
        <f t="shared" si="2"/>
        <v>1</v>
      </c>
      <c r="H921" s="5" t="str">
        <f t="shared" si="3"/>
        <v>ON TIME</v>
      </c>
      <c r="I921" s="5">
        <f>Raw_Data!F921</f>
        <v>2326</v>
      </c>
      <c r="J921" s="5">
        <f t="shared" si="4"/>
        <v>0</v>
      </c>
    </row>
    <row r="922">
      <c r="A922" s="5" t="str">
        <f>Raw_Data!A922</f>
        <v>TRK100920</v>
      </c>
      <c r="B922" s="5" t="str">
        <f>TRIM(Raw_Data!B922)</f>
        <v>EcomExpress</v>
      </c>
      <c r="C922" s="5" t="str">
        <f>TRIM(Raw_Data!C922)</f>
        <v>Tier 3</v>
      </c>
      <c r="D922" s="6">
        <f>DATEVALUE(TEXT(Raw_Data!D922, "YYYY-MM-DD"))</f>
        <v>46030</v>
      </c>
      <c r="E922" s="6">
        <f>IF(ISBLANK(Raw_Data!E922), "", DATEVALUE(TEXT(Raw_Data!E922, "YYYY-MM-DD")))</f>
        <v>46038</v>
      </c>
      <c r="F922" s="5">
        <f t="shared" si="1"/>
        <v>6</v>
      </c>
      <c r="G922" s="5">
        <f t="shared" si="2"/>
        <v>7</v>
      </c>
      <c r="H922" s="5" t="str">
        <f t="shared" si="3"/>
        <v>SLA BREACH</v>
      </c>
      <c r="I922" s="5">
        <f>Raw_Data!F922</f>
        <v>11921</v>
      </c>
      <c r="J922" s="5">
        <f t="shared" si="4"/>
        <v>596.05</v>
      </c>
    </row>
    <row r="923">
      <c r="A923" s="5" t="str">
        <f>Raw_Data!A923</f>
        <v>TRK100921</v>
      </c>
      <c r="B923" s="5" t="str">
        <f>TRIM(Raw_Data!B923)</f>
        <v>BlueDart</v>
      </c>
      <c r="C923" s="5" t="str">
        <f>TRIM(Raw_Data!C923)</f>
        <v>Tier 3</v>
      </c>
      <c r="D923" s="6">
        <f>DATEVALUE(TEXT(Raw_Data!D923, "YYYY-MM-DD"))</f>
        <v>46046</v>
      </c>
      <c r="E923" s="6">
        <f>IF(ISBLANK(Raw_Data!E923), "", DATEVALUE(TEXT(Raw_Data!E923, "YYYY-MM-DD")))</f>
        <v>46052</v>
      </c>
      <c r="F923" s="5">
        <f t="shared" si="1"/>
        <v>6</v>
      </c>
      <c r="G923" s="5">
        <f t="shared" si="2"/>
        <v>5</v>
      </c>
      <c r="H923" s="5" t="str">
        <f t="shared" si="3"/>
        <v>ON TIME</v>
      </c>
      <c r="I923" s="5">
        <f>Raw_Data!F923</f>
        <v>11979</v>
      </c>
      <c r="J923" s="5">
        <f t="shared" si="4"/>
        <v>0</v>
      </c>
    </row>
    <row r="924">
      <c r="A924" s="5" t="str">
        <f>Raw_Data!A924</f>
        <v>TRK100922</v>
      </c>
      <c r="B924" s="5" t="str">
        <f>TRIM(Raw_Data!B924)</f>
        <v>BlueDart</v>
      </c>
      <c r="C924" s="5" t="str">
        <f>TRIM(Raw_Data!C924)</f>
        <v>Tier 3</v>
      </c>
      <c r="D924" s="6">
        <f>DATEVALUE(TEXT(Raw_Data!D924, "YYYY-MM-DD"))</f>
        <v>46032</v>
      </c>
      <c r="E924" s="6">
        <f>IF(ISBLANK(Raw_Data!E924), "", DATEVALUE(TEXT(Raw_Data!E924, "YYYY-MM-DD")))</f>
        <v>46040</v>
      </c>
      <c r="F924" s="5">
        <f t="shared" si="1"/>
        <v>6</v>
      </c>
      <c r="G924" s="5">
        <f t="shared" si="2"/>
        <v>5</v>
      </c>
      <c r="H924" s="5" t="str">
        <f t="shared" si="3"/>
        <v>ON TIME</v>
      </c>
      <c r="I924" s="5">
        <f>Raw_Data!F924</f>
        <v>8129</v>
      </c>
      <c r="J924" s="5">
        <f t="shared" si="4"/>
        <v>0</v>
      </c>
    </row>
    <row r="925">
      <c r="A925" s="5" t="str">
        <f>Raw_Data!A925</f>
        <v>TRK100923</v>
      </c>
      <c r="B925" s="5" t="str">
        <f>TRIM(Raw_Data!B925)</f>
        <v>EcomExpress</v>
      </c>
      <c r="C925" s="5" t="str">
        <f>TRIM(Raw_Data!C925)</f>
        <v>Tier 3</v>
      </c>
      <c r="D925" s="6">
        <f>DATEVALUE(TEXT(Raw_Data!D925, "YYYY-MM-DD"))</f>
        <v>46047</v>
      </c>
      <c r="E925" s="6">
        <f>IF(ISBLANK(Raw_Data!E925), "", DATEVALUE(TEXT(Raw_Data!E925, "YYYY-MM-DD")))</f>
        <v>46054</v>
      </c>
      <c r="F925" s="5">
        <f t="shared" si="1"/>
        <v>6</v>
      </c>
      <c r="G925" s="5">
        <f t="shared" si="2"/>
        <v>5</v>
      </c>
      <c r="H925" s="5" t="str">
        <f t="shared" si="3"/>
        <v>ON TIME</v>
      </c>
      <c r="I925" s="5">
        <f>Raw_Data!F925</f>
        <v>8825</v>
      </c>
      <c r="J925" s="5">
        <f t="shared" si="4"/>
        <v>0</v>
      </c>
    </row>
    <row r="926">
      <c r="A926" s="5" t="str">
        <f>Raw_Data!A926</f>
        <v>TRK100924</v>
      </c>
      <c r="B926" s="5" t="str">
        <f>TRIM(Raw_Data!B926)</f>
        <v>EcomExpress</v>
      </c>
      <c r="C926" s="5" t="str">
        <f>TRIM(Raw_Data!C926)</f>
        <v>Tier 3</v>
      </c>
      <c r="D926" s="6">
        <f>DATEVALUE(TEXT(Raw_Data!D926, "YYYY-MM-DD"))</f>
        <v>46061</v>
      </c>
      <c r="E926" s="6">
        <f>IF(ISBLANK(Raw_Data!E926), "", DATEVALUE(TEXT(Raw_Data!E926, "YYYY-MM-DD")))</f>
        <v>46067</v>
      </c>
      <c r="F926" s="5">
        <f t="shared" si="1"/>
        <v>6</v>
      </c>
      <c r="G926" s="5">
        <f t="shared" si="2"/>
        <v>5</v>
      </c>
      <c r="H926" s="5" t="str">
        <f t="shared" si="3"/>
        <v>ON TIME</v>
      </c>
      <c r="I926" s="5">
        <f>Raw_Data!F926</f>
        <v>3638</v>
      </c>
      <c r="J926" s="5">
        <f t="shared" si="4"/>
        <v>0</v>
      </c>
    </row>
    <row r="927">
      <c r="A927" s="5" t="str">
        <f>Raw_Data!A927</f>
        <v>TRK100925</v>
      </c>
      <c r="B927" s="5" t="str">
        <f>TRIM(Raw_Data!B927)</f>
        <v>BlueDart</v>
      </c>
      <c r="C927" s="5" t="str">
        <f>TRIM(Raw_Data!C927)</f>
        <v>Metro</v>
      </c>
      <c r="D927" s="6">
        <f>DATEVALUE(TEXT(Raw_Data!D927, "YYYY-MM-DD"))</f>
        <v>46059</v>
      </c>
      <c r="E927" s="6">
        <f>IF(ISBLANK(Raw_Data!E927), "", DATEVALUE(TEXT(Raw_Data!E927, "YYYY-MM-DD")))</f>
        <v>46061</v>
      </c>
      <c r="F927" s="5">
        <f t="shared" si="1"/>
        <v>2</v>
      </c>
      <c r="G927" s="5">
        <f t="shared" si="2"/>
        <v>1</v>
      </c>
      <c r="H927" s="5" t="str">
        <f t="shared" si="3"/>
        <v>ON TIME</v>
      </c>
      <c r="I927" s="5">
        <f>Raw_Data!F927</f>
        <v>8193</v>
      </c>
      <c r="J927" s="5">
        <f t="shared" si="4"/>
        <v>0</v>
      </c>
    </row>
    <row r="928">
      <c r="A928" s="5" t="str">
        <f>Raw_Data!A928</f>
        <v>TRK100926</v>
      </c>
      <c r="B928" s="5" t="str">
        <f>TRIM(Raw_Data!B928)</f>
        <v>BlueDart</v>
      </c>
      <c r="C928" s="5" t="str">
        <f>TRIM(Raw_Data!C928)</f>
        <v>Tier 3</v>
      </c>
      <c r="D928" s="6">
        <f>DATEVALUE(TEXT(Raw_Data!D928, "YYYY-MM-DD"))</f>
        <v>46050</v>
      </c>
      <c r="E928" s="6">
        <f>IF(ISBLANK(Raw_Data!E928), "", DATEVALUE(TEXT(Raw_Data!E928, "YYYY-MM-DD")))</f>
        <v>46056</v>
      </c>
      <c r="F928" s="5">
        <f t="shared" si="1"/>
        <v>6</v>
      </c>
      <c r="G928" s="5">
        <f t="shared" si="2"/>
        <v>5</v>
      </c>
      <c r="H928" s="5" t="str">
        <f t="shared" si="3"/>
        <v>ON TIME</v>
      </c>
      <c r="I928" s="5">
        <f>Raw_Data!F928</f>
        <v>8764</v>
      </c>
      <c r="J928" s="5">
        <f t="shared" si="4"/>
        <v>0</v>
      </c>
    </row>
    <row r="929">
      <c r="A929" s="5" t="str">
        <f>Raw_Data!A929</f>
        <v>TRK100927</v>
      </c>
      <c r="B929" s="5" t="str">
        <f>TRIM(Raw_Data!B929)</f>
        <v>EcomExpress</v>
      </c>
      <c r="C929" s="5" t="str">
        <f>TRIM(Raw_Data!C929)</f>
        <v>Tier 3</v>
      </c>
      <c r="D929" s="6">
        <f>DATEVALUE(TEXT(Raw_Data!D929, "YYYY-MM-DD"))</f>
        <v>46054</v>
      </c>
      <c r="E929" s="6">
        <f>IF(ISBLANK(Raw_Data!E929), "", DATEVALUE(TEXT(Raw_Data!E929, "YYYY-MM-DD")))</f>
        <v>46060</v>
      </c>
      <c r="F929" s="5">
        <f t="shared" si="1"/>
        <v>6</v>
      </c>
      <c r="G929" s="5">
        <f t="shared" si="2"/>
        <v>5</v>
      </c>
      <c r="H929" s="5" t="str">
        <f t="shared" si="3"/>
        <v>ON TIME</v>
      </c>
      <c r="I929" s="5">
        <f>Raw_Data!F929</f>
        <v>8342</v>
      </c>
      <c r="J929" s="5">
        <f t="shared" si="4"/>
        <v>0</v>
      </c>
    </row>
    <row r="930">
      <c r="A930" s="5" t="str">
        <f>Raw_Data!A930</f>
        <v>TRK100928</v>
      </c>
      <c r="B930" s="5" t="str">
        <f>TRIM(Raw_Data!B930)</f>
        <v>BlueDart</v>
      </c>
      <c r="C930" s="5" t="str">
        <f>TRIM(Raw_Data!C930)</f>
        <v>Tier 2</v>
      </c>
      <c r="D930" s="6">
        <f>DATEVALUE(TEXT(Raw_Data!D930, "YYYY-MM-DD"))</f>
        <v>46057</v>
      </c>
      <c r="E930" s="6">
        <f>IF(ISBLANK(Raw_Data!E930), "", DATEVALUE(TEXT(Raw_Data!E930, "YYYY-MM-DD")))</f>
        <v>46061</v>
      </c>
      <c r="F930" s="5">
        <f t="shared" si="1"/>
        <v>4</v>
      </c>
      <c r="G930" s="5">
        <f t="shared" si="2"/>
        <v>3</v>
      </c>
      <c r="H930" s="5" t="str">
        <f t="shared" si="3"/>
        <v>ON TIME</v>
      </c>
      <c r="I930" s="5">
        <f>Raw_Data!F930</f>
        <v>7221</v>
      </c>
      <c r="J930" s="5">
        <f t="shared" si="4"/>
        <v>0</v>
      </c>
    </row>
    <row r="931">
      <c r="A931" s="5" t="str">
        <f>Raw_Data!A931</f>
        <v>TRK100929</v>
      </c>
      <c r="B931" s="5" t="str">
        <f>TRIM(Raw_Data!B931)</f>
        <v>BlueDart</v>
      </c>
      <c r="C931" s="5" t="str">
        <f>TRIM(Raw_Data!C931)</f>
        <v>Tier 3</v>
      </c>
      <c r="D931" s="6">
        <f>DATEVALUE(TEXT(Raw_Data!D931, "YYYY-MM-DD"))</f>
        <v>46081</v>
      </c>
      <c r="E931" s="6">
        <f>IF(ISBLANK(Raw_Data!E931), "", DATEVALUE(TEXT(Raw_Data!E931, "YYYY-MM-DD")))</f>
        <v>46087</v>
      </c>
      <c r="F931" s="5">
        <f t="shared" si="1"/>
        <v>6</v>
      </c>
      <c r="G931" s="5">
        <f t="shared" si="2"/>
        <v>5</v>
      </c>
      <c r="H931" s="5" t="str">
        <f t="shared" si="3"/>
        <v>ON TIME</v>
      </c>
      <c r="I931" s="5">
        <f>Raw_Data!F931</f>
        <v>7502</v>
      </c>
      <c r="J931" s="5">
        <f t="shared" si="4"/>
        <v>0</v>
      </c>
    </row>
    <row r="932">
      <c r="A932" s="5" t="str">
        <f>Raw_Data!A932</f>
        <v>TRK100930</v>
      </c>
      <c r="B932" s="5" t="str">
        <f>TRIM(Raw_Data!B932)</f>
        <v>BlueDart</v>
      </c>
      <c r="C932" s="5" t="str">
        <f>TRIM(Raw_Data!C932)</f>
        <v>Tier 2</v>
      </c>
      <c r="D932" s="6">
        <f>DATEVALUE(TEXT(Raw_Data!D932, "YYYY-MM-DD"))</f>
        <v>46082</v>
      </c>
      <c r="E932" s="6">
        <f>IF(ISBLANK(Raw_Data!E932), "", DATEVALUE(TEXT(Raw_Data!E932, "YYYY-MM-DD")))</f>
        <v>46086</v>
      </c>
      <c r="F932" s="5">
        <f t="shared" si="1"/>
        <v>4</v>
      </c>
      <c r="G932" s="5">
        <f t="shared" si="2"/>
        <v>4</v>
      </c>
      <c r="H932" s="5" t="str">
        <f t="shared" si="3"/>
        <v>ON TIME</v>
      </c>
      <c r="I932" s="5">
        <f>Raw_Data!F932</f>
        <v>4725</v>
      </c>
      <c r="J932" s="5">
        <f t="shared" si="4"/>
        <v>0</v>
      </c>
    </row>
    <row r="933">
      <c r="A933" s="5" t="str">
        <f>Raw_Data!A933</f>
        <v>TRK100931</v>
      </c>
      <c r="B933" s="5" t="str">
        <f>TRIM(Raw_Data!B933)</f>
        <v>BlueDart</v>
      </c>
      <c r="C933" s="5" t="str">
        <f>TRIM(Raw_Data!C933)</f>
        <v>Metro</v>
      </c>
      <c r="D933" s="6">
        <f>DATEVALUE(TEXT(Raw_Data!D933, "YYYY-MM-DD"))</f>
        <v>46058</v>
      </c>
      <c r="E933" s="6">
        <f>IF(ISBLANK(Raw_Data!E933), "", DATEVALUE(TEXT(Raw_Data!E933, "YYYY-MM-DD")))</f>
        <v>46062</v>
      </c>
      <c r="F933" s="5">
        <f t="shared" si="1"/>
        <v>2</v>
      </c>
      <c r="G933" s="5">
        <f t="shared" si="2"/>
        <v>3</v>
      </c>
      <c r="H933" s="5" t="str">
        <f t="shared" si="3"/>
        <v>SLA BREACH</v>
      </c>
      <c r="I933" s="5">
        <f>Raw_Data!F933</f>
        <v>3478</v>
      </c>
      <c r="J933" s="5">
        <f t="shared" si="4"/>
        <v>173.9</v>
      </c>
    </row>
    <row r="934">
      <c r="A934" s="5" t="str">
        <f>Raw_Data!A934</f>
        <v>TRK100932</v>
      </c>
      <c r="B934" s="5" t="str">
        <f>TRIM(Raw_Data!B934)</f>
        <v>Delhivery</v>
      </c>
      <c r="C934" s="5" t="str">
        <f>TRIM(Raw_Data!C934)</f>
        <v>Tier 2</v>
      </c>
      <c r="D934" s="6">
        <f>DATEVALUE(TEXT(Raw_Data!D934, "YYYY-MM-DD"))</f>
        <v>46054</v>
      </c>
      <c r="E934" s="6">
        <f>IF(ISBLANK(Raw_Data!E934), "", DATEVALUE(TEXT(Raw_Data!E934, "YYYY-MM-DD")))</f>
        <v>46063</v>
      </c>
      <c r="F934" s="5">
        <f t="shared" si="1"/>
        <v>4</v>
      </c>
      <c r="G934" s="5">
        <f t="shared" si="2"/>
        <v>7</v>
      </c>
      <c r="H934" s="5" t="str">
        <f t="shared" si="3"/>
        <v>SLA BREACH</v>
      </c>
      <c r="I934" s="5">
        <f>Raw_Data!F934</f>
        <v>7873</v>
      </c>
      <c r="J934" s="5">
        <f t="shared" si="4"/>
        <v>393.65</v>
      </c>
    </row>
    <row r="935">
      <c r="A935" s="5" t="str">
        <f>Raw_Data!A935</f>
        <v>TRK100933</v>
      </c>
      <c r="B935" s="5" t="str">
        <f>TRIM(Raw_Data!B935)</f>
        <v>Delhivery</v>
      </c>
      <c r="C935" s="5" t="str">
        <f>TRIM(Raw_Data!C935)</f>
        <v>Tier 2</v>
      </c>
      <c r="D935" s="6">
        <f>DATEVALUE(TEXT(Raw_Data!D935, "YYYY-MM-DD"))</f>
        <v>46031</v>
      </c>
      <c r="E935" s="6">
        <f>IF(ISBLANK(Raw_Data!E935), "", DATEVALUE(TEXT(Raw_Data!E935, "YYYY-MM-DD")))</f>
        <v>46035</v>
      </c>
      <c r="F935" s="5">
        <f t="shared" si="1"/>
        <v>4</v>
      </c>
      <c r="G935" s="5">
        <f t="shared" si="2"/>
        <v>3</v>
      </c>
      <c r="H935" s="5" t="str">
        <f t="shared" si="3"/>
        <v>ON TIME</v>
      </c>
      <c r="I935" s="5">
        <f>Raw_Data!F935</f>
        <v>6407</v>
      </c>
      <c r="J935" s="5">
        <f t="shared" si="4"/>
        <v>0</v>
      </c>
    </row>
    <row r="936">
      <c r="A936" s="5" t="str">
        <f>Raw_Data!A936</f>
        <v>TRK100934</v>
      </c>
      <c r="B936" s="5" t="str">
        <f>TRIM(Raw_Data!B936)</f>
        <v>EcomExpress</v>
      </c>
      <c r="C936" s="5" t="str">
        <f>TRIM(Raw_Data!C936)</f>
        <v>Metro</v>
      </c>
      <c r="D936" s="6">
        <f>DATEVALUE(TEXT(Raw_Data!D936, "YYYY-MM-DD"))</f>
        <v>46043</v>
      </c>
      <c r="E936" s="6">
        <f>IF(ISBLANK(Raw_Data!E936), "", DATEVALUE(TEXT(Raw_Data!E936, "YYYY-MM-DD")))</f>
        <v>46045</v>
      </c>
      <c r="F936" s="5">
        <f t="shared" si="1"/>
        <v>2</v>
      </c>
      <c r="G936" s="5">
        <f t="shared" si="2"/>
        <v>3</v>
      </c>
      <c r="H936" s="5" t="str">
        <f t="shared" si="3"/>
        <v>SLA BREACH</v>
      </c>
      <c r="I936" s="5">
        <f>Raw_Data!F936</f>
        <v>6597</v>
      </c>
      <c r="J936" s="5">
        <f t="shared" si="4"/>
        <v>329.85</v>
      </c>
    </row>
    <row r="937">
      <c r="A937" s="5" t="str">
        <f>Raw_Data!A937</f>
        <v>TRK100935</v>
      </c>
      <c r="B937" s="5" t="str">
        <f>TRIM(Raw_Data!B937)</f>
        <v>Delhivery</v>
      </c>
      <c r="C937" s="5" t="str">
        <f>TRIM(Raw_Data!C937)</f>
        <v>Metro</v>
      </c>
      <c r="D937" s="6">
        <f>DATEVALUE(TEXT(Raw_Data!D937, "YYYY-MM-DD"))</f>
        <v>46062</v>
      </c>
      <c r="E937" s="6">
        <f>IF(ISBLANK(Raw_Data!E937), "", DATEVALUE(TEXT(Raw_Data!E937, "YYYY-MM-DD")))</f>
        <v>46064</v>
      </c>
      <c r="F937" s="5">
        <f t="shared" si="1"/>
        <v>2</v>
      </c>
      <c r="G937" s="5">
        <f t="shared" si="2"/>
        <v>3</v>
      </c>
      <c r="H937" s="5" t="str">
        <f t="shared" si="3"/>
        <v>SLA BREACH</v>
      </c>
      <c r="I937" s="5">
        <f>Raw_Data!F937</f>
        <v>6156</v>
      </c>
      <c r="J937" s="5">
        <f t="shared" si="4"/>
        <v>307.8</v>
      </c>
    </row>
    <row r="938">
      <c r="A938" s="5" t="str">
        <f>Raw_Data!A938</f>
        <v>TRK100936</v>
      </c>
      <c r="B938" s="5" t="str">
        <f>TRIM(Raw_Data!B938)</f>
        <v>BlueDart</v>
      </c>
      <c r="C938" s="5" t="str">
        <f>TRIM(Raw_Data!C938)</f>
        <v>Tier 2</v>
      </c>
      <c r="D938" s="6">
        <f>DATEVALUE(TEXT(Raw_Data!D938, "YYYY-MM-DD"))</f>
        <v>46078</v>
      </c>
      <c r="E938" s="6">
        <f>IF(ISBLANK(Raw_Data!E938), "", DATEVALUE(TEXT(Raw_Data!E938, "YYYY-MM-DD")))</f>
        <v>46082</v>
      </c>
      <c r="F938" s="5">
        <f t="shared" si="1"/>
        <v>4</v>
      </c>
      <c r="G938" s="5">
        <f t="shared" si="2"/>
        <v>3</v>
      </c>
      <c r="H938" s="5" t="str">
        <f t="shared" si="3"/>
        <v>ON TIME</v>
      </c>
      <c r="I938" s="5">
        <f>Raw_Data!F938</f>
        <v>10677</v>
      </c>
      <c r="J938" s="5">
        <f t="shared" si="4"/>
        <v>0</v>
      </c>
    </row>
    <row r="939">
      <c r="A939" s="5" t="str">
        <f>Raw_Data!A939</f>
        <v>TRK100937</v>
      </c>
      <c r="B939" s="5" t="str">
        <f>TRIM(Raw_Data!B939)</f>
        <v>Delhivery</v>
      </c>
      <c r="C939" s="5" t="str">
        <f>TRIM(Raw_Data!C939)</f>
        <v>Tier 2</v>
      </c>
      <c r="D939" s="6">
        <f>DATEVALUE(TEXT(Raw_Data!D939, "YYYY-MM-DD"))</f>
        <v>46083</v>
      </c>
      <c r="E939" s="6">
        <f>IF(ISBLANK(Raw_Data!E939), "", DATEVALUE(TEXT(Raw_Data!E939, "YYYY-MM-DD")))</f>
        <v>46089</v>
      </c>
      <c r="F939" s="5">
        <f t="shared" si="1"/>
        <v>4</v>
      </c>
      <c r="G939" s="5">
        <f t="shared" si="2"/>
        <v>5</v>
      </c>
      <c r="H939" s="5" t="str">
        <f t="shared" si="3"/>
        <v>SLA BREACH</v>
      </c>
      <c r="I939" s="5">
        <f>Raw_Data!F939</f>
        <v>9484</v>
      </c>
      <c r="J939" s="5">
        <f t="shared" si="4"/>
        <v>474.2</v>
      </c>
    </row>
    <row r="940">
      <c r="A940" s="5" t="str">
        <f>Raw_Data!A940</f>
        <v>TRK100938</v>
      </c>
      <c r="B940" s="5" t="str">
        <f>TRIM(Raw_Data!B940)</f>
        <v>EcomExpress</v>
      </c>
      <c r="C940" s="5" t="str">
        <f>TRIM(Raw_Data!C940)</f>
        <v>Metro</v>
      </c>
      <c r="D940" s="6">
        <f>DATEVALUE(TEXT(Raw_Data!D940, "YYYY-MM-DD"))</f>
        <v>46054</v>
      </c>
      <c r="E940" s="6">
        <f>IF(ISBLANK(Raw_Data!E940), "", DATEVALUE(TEXT(Raw_Data!E940, "YYYY-MM-DD")))</f>
        <v>46056</v>
      </c>
      <c r="F940" s="5">
        <f t="shared" si="1"/>
        <v>2</v>
      </c>
      <c r="G940" s="5">
        <f t="shared" si="2"/>
        <v>2</v>
      </c>
      <c r="H940" s="5" t="str">
        <f t="shared" si="3"/>
        <v>ON TIME</v>
      </c>
      <c r="I940" s="5">
        <f>Raw_Data!F940</f>
        <v>4759</v>
      </c>
      <c r="J940" s="5">
        <f t="shared" si="4"/>
        <v>0</v>
      </c>
    </row>
    <row r="941">
      <c r="A941" s="5" t="str">
        <f>Raw_Data!A941</f>
        <v>TRK100939</v>
      </c>
      <c r="B941" s="5" t="str">
        <f>TRIM(Raw_Data!B941)</f>
        <v>EcomExpress</v>
      </c>
      <c r="C941" s="5" t="str">
        <f>TRIM(Raw_Data!C941)</f>
        <v>Metro</v>
      </c>
      <c r="D941" s="6">
        <f>DATEVALUE(TEXT(Raw_Data!D941, "YYYY-MM-DD"))</f>
        <v>46035</v>
      </c>
      <c r="E941" s="6">
        <f>IF(ISBLANK(Raw_Data!E941), "", DATEVALUE(TEXT(Raw_Data!E941, "YYYY-MM-DD")))</f>
        <v>46037</v>
      </c>
      <c r="F941" s="5">
        <f t="shared" si="1"/>
        <v>2</v>
      </c>
      <c r="G941" s="5">
        <f t="shared" si="2"/>
        <v>3</v>
      </c>
      <c r="H941" s="5" t="str">
        <f t="shared" si="3"/>
        <v>SLA BREACH</v>
      </c>
      <c r="I941" s="5">
        <f>Raw_Data!F941</f>
        <v>8786</v>
      </c>
      <c r="J941" s="5">
        <f t="shared" si="4"/>
        <v>439.3</v>
      </c>
    </row>
    <row r="942">
      <c r="A942" s="5" t="str">
        <f>Raw_Data!A942</f>
        <v>TRK100940</v>
      </c>
      <c r="B942" s="5" t="str">
        <f>TRIM(Raw_Data!B942)</f>
        <v>EcomExpress</v>
      </c>
      <c r="C942" s="5" t="str">
        <f>TRIM(Raw_Data!C942)</f>
        <v>Metro</v>
      </c>
      <c r="D942" s="6">
        <f>DATEVALUE(TEXT(Raw_Data!D942, "YYYY-MM-DD"))</f>
        <v>46058</v>
      </c>
      <c r="E942" s="6">
        <f>IF(ISBLANK(Raw_Data!E942), "", DATEVALUE(TEXT(Raw_Data!E942, "YYYY-MM-DD")))</f>
        <v>46060</v>
      </c>
      <c r="F942" s="5">
        <f t="shared" si="1"/>
        <v>2</v>
      </c>
      <c r="G942" s="5">
        <f t="shared" si="2"/>
        <v>2</v>
      </c>
      <c r="H942" s="5" t="str">
        <f t="shared" si="3"/>
        <v>ON TIME</v>
      </c>
      <c r="I942" s="5">
        <f>Raw_Data!F942</f>
        <v>6401</v>
      </c>
      <c r="J942" s="5">
        <f t="shared" si="4"/>
        <v>0</v>
      </c>
    </row>
    <row r="943">
      <c r="A943" s="5" t="str">
        <f>Raw_Data!A943</f>
        <v>TRK100941</v>
      </c>
      <c r="B943" s="5" t="str">
        <f>TRIM(Raw_Data!B943)</f>
        <v>Delhivery</v>
      </c>
      <c r="C943" s="5" t="str">
        <f>TRIM(Raw_Data!C943)</f>
        <v>Metro</v>
      </c>
      <c r="D943" s="6">
        <f>DATEVALUE(TEXT(Raw_Data!D943, "YYYY-MM-DD"))</f>
        <v>46064</v>
      </c>
      <c r="E943" s="6">
        <f>IF(ISBLANK(Raw_Data!E943), "", DATEVALUE(TEXT(Raw_Data!E943, "YYYY-MM-DD")))</f>
        <v>46066</v>
      </c>
      <c r="F943" s="5">
        <f t="shared" si="1"/>
        <v>2</v>
      </c>
      <c r="G943" s="5">
        <f t="shared" si="2"/>
        <v>3</v>
      </c>
      <c r="H943" s="5" t="str">
        <f t="shared" si="3"/>
        <v>SLA BREACH</v>
      </c>
      <c r="I943" s="5">
        <f>Raw_Data!F943</f>
        <v>9825</v>
      </c>
      <c r="J943" s="5">
        <f t="shared" si="4"/>
        <v>491.25</v>
      </c>
    </row>
    <row r="944">
      <c r="A944" s="5" t="str">
        <f>Raw_Data!A944</f>
        <v>TRK100942</v>
      </c>
      <c r="B944" s="5" t="str">
        <f>TRIM(Raw_Data!B944)</f>
        <v>Delhivery</v>
      </c>
      <c r="C944" s="5" t="str">
        <f>TRIM(Raw_Data!C944)</f>
        <v>Metro</v>
      </c>
      <c r="D944" s="6">
        <f>DATEVALUE(TEXT(Raw_Data!D944, "YYYY-MM-DD"))</f>
        <v>46049</v>
      </c>
      <c r="E944" s="6">
        <f>IF(ISBLANK(Raw_Data!E944), "", DATEVALUE(TEXT(Raw_Data!E944, "YYYY-MM-DD")))</f>
        <v>46051</v>
      </c>
      <c r="F944" s="5">
        <f t="shared" si="1"/>
        <v>2</v>
      </c>
      <c r="G944" s="5">
        <f t="shared" si="2"/>
        <v>3</v>
      </c>
      <c r="H944" s="5" t="str">
        <f t="shared" si="3"/>
        <v>SLA BREACH</v>
      </c>
      <c r="I944" s="5">
        <f>Raw_Data!F944</f>
        <v>5417</v>
      </c>
      <c r="J944" s="5">
        <f t="shared" si="4"/>
        <v>270.85</v>
      </c>
    </row>
    <row r="945">
      <c r="A945" s="5" t="str">
        <f>Raw_Data!A945</f>
        <v>TRK100943</v>
      </c>
      <c r="B945" s="5" t="str">
        <f>TRIM(Raw_Data!B945)</f>
        <v>Delhivery</v>
      </c>
      <c r="C945" s="5" t="str">
        <f>TRIM(Raw_Data!C945)</f>
        <v>Tier 2</v>
      </c>
      <c r="D945" s="6">
        <f>DATEVALUE(TEXT(Raw_Data!D945, "YYYY-MM-DD"))</f>
        <v>46054</v>
      </c>
      <c r="E945" s="6">
        <f>IF(ISBLANK(Raw_Data!E945), "", DATEVALUE(TEXT(Raw_Data!E945, "YYYY-MM-DD")))</f>
        <v>46060</v>
      </c>
      <c r="F945" s="5">
        <f t="shared" si="1"/>
        <v>4</v>
      </c>
      <c r="G945" s="5">
        <f t="shared" si="2"/>
        <v>5</v>
      </c>
      <c r="H945" s="5" t="str">
        <f t="shared" si="3"/>
        <v>SLA BREACH</v>
      </c>
      <c r="I945" s="5">
        <f>Raw_Data!F945</f>
        <v>8929</v>
      </c>
      <c r="J945" s="5">
        <f t="shared" si="4"/>
        <v>446.45</v>
      </c>
    </row>
    <row r="946">
      <c r="A946" s="5" t="str">
        <f>Raw_Data!A946</f>
        <v>TRK100944</v>
      </c>
      <c r="B946" s="5" t="str">
        <f>TRIM(Raw_Data!B946)</f>
        <v>EcomExpress</v>
      </c>
      <c r="C946" s="5" t="str">
        <f>TRIM(Raw_Data!C946)</f>
        <v>Metro</v>
      </c>
      <c r="D946" s="6">
        <f>DATEVALUE(TEXT(Raw_Data!D946, "YYYY-MM-DD"))</f>
        <v>46068</v>
      </c>
      <c r="E946" s="6">
        <f>IF(ISBLANK(Raw_Data!E946), "", DATEVALUE(TEXT(Raw_Data!E946, "YYYY-MM-DD")))</f>
        <v>46070</v>
      </c>
      <c r="F946" s="5">
        <f t="shared" si="1"/>
        <v>2</v>
      </c>
      <c r="G946" s="5">
        <f t="shared" si="2"/>
        <v>2</v>
      </c>
      <c r="H946" s="5" t="str">
        <f t="shared" si="3"/>
        <v>ON TIME</v>
      </c>
      <c r="I946" s="5">
        <f>Raw_Data!F946</f>
        <v>11638</v>
      </c>
      <c r="J946" s="5">
        <f t="shared" si="4"/>
        <v>0</v>
      </c>
    </row>
    <row r="947">
      <c r="A947" s="5" t="str">
        <f>Raw_Data!A947</f>
        <v>TRK100945</v>
      </c>
      <c r="B947" s="5" t="str">
        <f>TRIM(Raw_Data!B947)</f>
        <v>BlueDart</v>
      </c>
      <c r="C947" s="5" t="str">
        <f>TRIM(Raw_Data!C947)</f>
        <v>Tier 3</v>
      </c>
      <c r="D947" s="6">
        <f>DATEVALUE(TEXT(Raw_Data!D947, "YYYY-MM-DD"))</f>
        <v>46054</v>
      </c>
      <c r="E947" s="6">
        <f>IF(ISBLANK(Raw_Data!E947), "", DATEVALUE(TEXT(Raw_Data!E947, "YYYY-MM-DD")))</f>
        <v>46060</v>
      </c>
      <c r="F947" s="5">
        <f t="shared" si="1"/>
        <v>6</v>
      </c>
      <c r="G947" s="5">
        <f t="shared" si="2"/>
        <v>5</v>
      </c>
      <c r="H947" s="5" t="str">
        <f t="shared" si="3"/>
        <v>ON TIME</v>
      </c>
      <c r="I947" s="5">
        <f>Raw_Data!F947</f>
        <v>3030</v>
      </c>
      <c r="J947" s="5">
        <f t="shared" si="4"/>
        <v>0</v>
      </c>
    </row>
    <row r="948">
      <c r="A948" s="5" t="str">
        <f>Raw_Data!A948</f>
        <v>TRK100946</v>
      </c>
      <c r="B948" s="5" t="str">
        <f>TRIM(Raw_Data!B948)</f>
        <v>BlueDart</v>
      </c>
      <c r="C948" s="5" t="str">
        <f>TRIM(Raw_Data!C948)</f>
        <v>Tier 3</v>
      </c>
      <c r="D948" s="6">
        <f>DATEVALUE(TEXT(Raw_Data!D948, "YYYY-MM-DD"))</f>
        <v>46028</v>
      </c>
      <c r="E948" s="6">
        <f>IF(ISBLANK(Raw_Data!E948), "", DATEVALUE(TEXT(Raw_Data!E948, "YYYY-MM-DD")))</f>
        <v>46034</v>
      </c>
      <c r="F948" s="5">
        <f t="shared" si="1"/>
        <v>6</v>
      </c>
      <c r="G948" s="5">
        <f t="shared" si="2"/>
        <v>5</v>
      </c>
      <c r="H948" s="5" t="str">
        <f t="shared" si="3"/>
        <v>ON TIME</v>
      </c>
      <c r="I948" s="5">
        <f>Raw_Data!F948</f>
        <v>2460</v>
      </c>
      <c r="J948" s="5">
        <f t="shared" si="4"/>
        <v>0</v>
      </c>
    </row>
    <row r="949">
      <c r="A949" s="5" t="str">
        <f>Raw_Data!A949</f>
        <v>TRK100947</v>
      </c>
      <c r="B949" s="5" t="str">
        <f>TRIM(Raw_Data!B949)</f>
        <v>EcomExpress</v>
      </c>
      <c r="C949" s="5" t="str">
        <f>TRIM(Raw_Data!C949)</f>
        <v>Tier 3</v>
      </c>
      <c r="D949" s="6">
        <f>DATEVALUE(TEXT(Raw_Data!D949, "YYYY-MM-DD"))</f>
        <v>46024</v>
      </c>
      <c r="E949" s="6">
        <f>IF(ISBLANK(Raw_Data!E949), "", DATEVALUE(TEXT(Raw_Data!E949, "YYYY-MM-DD")))</f>
        <v>46032</v>
      </c>
      <c r="F949" s="5">
        <f t="shared" si="1"/>
        <v>6</v>
      </c>
      <c r="G949" s="5">
        <f t="shared" si="2"/>
        <v>6</v>
      </c>
      <c r="H949" s="5" t="str">
        <f t="shared" si="3"/>
        <v>ON TIME</v>
      </c>
      <c r="I949" s="5">
        <f>Raw_Data!F949</f>
        <v>7545</v>
      </c>
      <c r="J949" s="5">
        <f t="shared" si="4"/>
        <v>0</v>
      </c>
    </row>
    <row r="950">
      <c r="A950" s="5" t="str">
        <f>Raw_Data!A950</f>
        <v>TRK100948</v>
      </c>
      <c r="B950" s="5" t="str">
        <f>TRIM(Raw_Data!B950)</f>
        <v>EcomExpress</v>
      </c>
      <c r="C950" s="5" t="str">
        <f>TRIM(Raw_Data!C950)</f>
        <v>Tier 3</v>
      </c>
      <c r="D950" s="6">
        <f>DATEVALUE(TEXT(Raw_Data!D950, "YYYY-MM-DD"))</f>
        <v>46071</v>
      </c>
      <c r="E950" s="6">
        <f>IF(ISBLANK(Raw_Data!E950), "", DATEVALUE(TEXT(Raw_Data!E950, "YYYY-MM-DD")))</f>
        <v>46079</v>
      </c>
      <c r="F950" s="5">
        <f t="shared" si="1"/>
        <v>6</v>
      </c>
      <c r="G950" s="5">
        <f t="shared" si="2"/>
        <v>7</v>
      </c>
      <c r="H950" s="5" t="str">
        <f t="shared" si="3"/>
        <v>SLA BREACH</v>
      </c>
      <c r="I950" s="5">
        <f>Raw_Data!F950</f>
        <v>1548</v>
      </c>
      <c r="J950" s="5">
        <f t="shared" si="4"/>
        <v>77.4</v>
      </c>
    </row>
    <row r="951">
      <c r="A951" s="5" t="str">
        <f>Raw_Data!A951</f>
        <v>TRK100949</v>
      </c>
      <c r="B951" s="5" t="str">
        <f>TRIM(Raw_Data!B951)</f>
        <v>EcomExpress</v>
      </c>
      <c r="C951" s="5" t="str">
        <f>TRIM(Raw_Data!C951)</f>
        <v>Metro</v>
      </c>
      <c r="D951" s="6">
        <f>DATEVALUE(TEXT(Raw_Data!D951, "YYYY-MM-DD"))</f>
        <v>46041</v>
      </c>
      <c r="E951" s="6">
        <f>IF(ISBLANK(Raw_Data!E951), "", DATEVALUE(TEXT(Raw_Data!E951, "YYYY-MM-DD")))</f>
        <v>46043</v>
      </c>
      <c r="F951" s="5">
        <f t="shared" si="1"/>
        <v>2</v>
      </c>
      <c r="G951" s="5">
        <f t="shared" si="2"/>
        <v>3</v>
      </c>
      <c r="H951" s="5" t="str">
        <f t="shared" si="3"/>
        <v>SLA BREACH</v>
      </c>
      <c r="I951" s="5">
        <f>Raw_Data!F951</f>
        <v>6272</v>
      </c>
      <c r="J951" s="5">
        <f t="shared" si="4"/>
        <v>313.6</v>
      </c>
    </row>
    <row r="952">
      <c r="A952" s="5" t="str">
        <f>Raw_Data!A952</f>
        <v>TRK100571</v>
      </c>
      <c r="B952" s="5" t="str">
        <f>TRIM(Raw_Data!B952)</f>
        <v>EcomExpress</v>
      </c>
      <c r="C952" s="5" t="str">
        <f>TRIM(Raw_Data!C952)</f>
        <v>Tier 3</v>
      </c>
      <c r="D952" s="6">
        <f>DATEVALUE(TEXT(Raw_Data!D952, "YYYY-MM-DD"))</f>
        <v>46040</v>
      </c>
      <c r="E952" s="6">
        <f>IF(ISBLANK(Raw_Data!E952), "", DATEVALUE(TEXT(Raw_Data!E952, "YYYY-MM-DD")))</f>
        <v>46046</v>
      </c>
      <c r="F952" s="5">
        <f t="shared" si="1"/>
        <v>6</v>
      </c>
      <c r="G952" s="5">
        <f t="shared" si="2"/>
        <v>5</v>
      </c>
      <c r="H952" s="5" t="str">
        <f t="shared" si="3"/>
        <v>ON TIME</v>
      </c>
      <c r="I952" s="5">
        <f>Raw_Data!F952</f>
        <v>3029</v>
      </c>
      <c r="J952" s="5">
        <f t="shared" si="4"/>
        <v>0</v>
      </c>
    </row>
    <row r="953">
      <c r="A953" s="5" t="str">
        <f>Raw_Data!A953</f>
        <v>TRK100782</v>
      </c>
      <c r="B953" s="5" t="str">
        <f>TRIM(Raw_Data!B953)</f>
        <v>BlueDart</v>
      </c>
      <c r="C953" s="5" t="str">
        <f>TRIM(Raw_Data!C953)</f>
        <v>Tier 2</v>
      </c>
      <c r="D953" s="6">
        <f>DATEVALUE(TEXT(Raw_Data!D953, "YYYY-MM-DD"))</f>
        <v>46057</v>
      </c>
      <c r="E953" s="6">
        <f>IF(ISBLANK(Raw_Data!E953), "", DATEVALUE(TEXT(Raw_Data!E953, "YYYY-MM-DD")))</f>
        <v>46061</v>
      </c>
      <c r="F953" s="5">
        <f t="shared" si="1"/>
        <v>4</v>
      </c>
      <c r="G953" s="5">
        <f t="shared" si="2"/>
        <v>3</v>
      </c>
      <c r="H953" s="5" t="str">
        <f t="shared" si="3"/>
        <v>ON TIME</v>
      </c>
      <c r="I953" s="5">
        <f>Raw_Data!F953</f>
        <v>3464</v>
      </c>
      <c r="J953" s="5">
        <f t="shared" si="4"/>
        <v>0</v>
      </c>
    </row>
    <row r="954">
      <c r="A954" s="5" t="str">
        <f>Raw_Data!A954</f>
        <v>TRK100426</v>
      </c>
      <c r="B954" s="5" t="str">
        <f>TRIM(Raw_Data!B954)</f>
        <v>Delhivery</v>
      </c>
      <c r="C954" s="5" t="str">
        <f>TRIM(Raw_Data!C954)</f>
        <v>Tier 3</v>
      </c>
      <c r="D954" s="6">
        <f>DATEVALUE(TEXT(Raw_Data!D954, "YYYY-MM-DD"))</f>
        <v>46033</v>
      </c>
      <c r="E954" s="6">
        <f>IF(ISBLANK(Raw_Data!E954), "", DATEVALUE(TEXT(Raw_Data!E954, "YYYY-MM-DD")))</f>
        <v>46039</v>
      </c>
      <c r="F954" s="5">
        <f t="shared" si="1"/>
        <v>6</v>
      </c>
      <c r="G954" s="5">
        <f t="shared" si="2"/>
        <v>5</v>
      </c>
      <c r="H954" s="5" t="str">
        <f t="shared" si="3"/>
        <v>ON TIME</v>
      </c>
      <c r="I954" s="5">
        <f>Raw_Data!F954</f>
        <v>7637</v>
      </c>
      <c r="J954" s="5">
        <f t="shared" si="4"/>
        <v>0</v>
      </c>
    </row>
    <row r="955">
      <c r="A955" s="5" t="str">
        <f>Raw_Data!A955</f>
        <v>TRK100620</v>
      </c>
      <c r="B955" s="5" t="str">
        <f>TRIM(Raw_Data!B955)</f>
        <v>Delhivery</v>
      </c>
      <c r="C955" s="5" t="str">
        <f>TRIM(Raw_Data!C955)</f>
        <v>Metro</v>
      </c>
      <c r="D955" s="6">
        <f>DATEVALUE(TEXT(Raw_Data!D955, "YYYY-MM-DD"))</f>
        <v>46052</v>
      </c>
      <c r="E955" s="6">
        <f>IF(ISBLANK(Raw_Data!E955), "", DATEVALUE(TEXT(Raw_Data!E955, "YYYY-MM-DD")))</f>
        <v>46056</v>
      </c>
      <c r="F955" s="5">
        <f t="shared" si="1"/>
        <v>2</v>
      </c>
      <c r="G955" s="5">
        <f t="shared" si="2"/>
        <v>3</v>
      </c>
      <c r="H955" s="5" t="str">
        <f t="shared" si="3"/>
        <v>SLA BREACH</v>
      </c>
      <c r="I955" s="5">
        <f>Raw_Data!F955</f>
        <v>1463</v>
      </c>
      <c r="J955" s="5">
        <f t="shared" si="4"/>
        <v>73.15</v>
      </c>
    </row>
    <row r="956">
      <c r="A956" s="5" t="str">
        <f>Raw_Data!A956</f>
        <v>TRK100610</v>
      </c>
      <c r="B956" s="5" t="str">
        <f>TRIM(Raw_Data!B956)</f>
        <v>BlueDart</v>
      </c>
      <c r="C956" s="5" t="str">
        <f>TRIM(Raw_Data!C956)</f>
        <v>Tier 3</v>
      </c>
      <c r="D956" s="6">
        <f>DATEVALUE(TEXT(Raw_Data!D956, "YYYY-MM-DD"))</f>
        <v>46070</v>
      </c>
      <c r="E956" s="6">
        <f>IF(ISBLANK(Raw_Data!E956), "", DATEVALUE(TEXT(Raw_Data!E956, "YYYY-MM-DD")))</f>
        <v>46076</v>
      </c>
      <c r="F956" s="5">
        <f t="shared" si="1"/>
        <v>6</v>
      </c>
      <c r="G956" s="5">
        <f t="shared" si="2"/>
        <v>5</v>
      </c>
      <c r="H956" s="5" t="str">
        <f t="shared" si="3"/>
        <v>ON TIME</v>
      </c>
      <c r="I956" s="5">
        <f>Raw_Data!F956</f>
        <v>1036</v>
      </c>
      <c r="J956" s="5">
        <f t="shared" si="4"/>
        <v>0</v>
      </c>
    </row>
    <row r="957">
      <c r="A957" s="5" t="str">
        <f>Raw_Data!A957</f>
        <v>TRK100809</v>
      </c>
      <c r="B957" s="5" t="str">
        <f>TRIM(Raw_Data!B957)</f>
        <v>Delhivery</v>
      </c>
      <c r="C957" s="5" t="str">
        <f>TRIM(Raw_Data!C957)</f>
        <v>Tier 2</v>
      </c>
      <c r="D957" s="6">
        <f>DATEVALUE(TEXT(Raw_Data!D957, "YYYY-MM-DD"))</f>
        <v>46072</v>
      </c>
      <c r="E957" s="6">
        <f>IF(ISBLANK(Raw_Data!E957), "", DATEVALUE(TEXT(Raw_Data!E957, "YYYY-MM-DD")))</f>
        <v>46076</v>
      </c>
      <c r="F957" s="5">
        <f t="shared" si="1"/>
        <v>4</v>
      </c>
      <c r="G957" s="5">
        <f t="shared" si="2"/>
        <v>3</v>
      </c>
      <c r="H957" s="5" t="str">
        <f t="shared" si="3"/>
        <v>ON TIME</v>
      </c>
      <c r="I957" s="5">
        <f>Raw_Data!F957</f>
        <v>7840</v>
      </c>
      <c r="J957" s="5">
        <f t="shared" si="4"/>
        <v>0</v>
      </c>
    </row>
    <row r="958">
      <c r="A958" s="5" t="str">
        <f>Raw_Data!A958</f>
        <v>TRK100633</v>
      </c>
      <c r="B958" s="5" t="str">
        <f>TRIM(Raw_Data!B958)</f>
        <v>BlueDart</v>
      </c>
      <c r="C958" s="5" t="str">
        <f>TRIM(Raw_Data!C958)</f>
        <v>Metro</v>
      </c>
      <c r="D958" s="6">
        <f>DATEVALUE(TEXT(Raw_Data!D958, "YYYY-MM-DD"))</f>
        <v>46058</v>
      </c>
      <c r="E958" s="6">
        <f>IF(ISBLANK(Raw_Data!E958), "", DATEVALUE(TEXT(Raw_Data!E958, "YYYY-MM-DD")))</f>
        <v>46060</v>
      </c>
      <c r="F958" s="5">
        <f t="shared" si="1"/>
        <v>2</v>
      </c>
      <c r="G958" s="5">
        <f t="shared" si="2"/>
        <v>2</v>
      </c>
      <c r="H958" s="5" t="str">
        <f t="shared" si="3"/>
        <v>ON TIME</v>
      </c>
      <c r="I958" s="5">
        <f>Raw_Data!F958</f>
        <v>7679</v>
      </c>
      <c r="J958" s="5">
        <f t="shared" si="4"/>
        <v>0</v>
      </c>
    </row>
    <row r="959">
      <c r="A959" s="5" t="str">
        <f>Raw_Data!A959</f>
        <v>TRK100231</v>
      </c>
      <c r="B959" s="5" t="str">
        <f>TRIM(Raw_Data!B959)</f>
        <v>Delhivery</v>
      </c>
      <c r="C959" s="5" t="str">
        <f>TRIM(Raw_Data!C959)</f>
        <v>Metro</v>
      </c>
      <c r="D959" s="6">
        <f>DATEVALUE(TEXT(Raw_Data!D959, "YYYY-MM-DD"))</f>
        <v>46030</v>
      </c>
      <c r="E959" s="6">
        <f>IF(ISBLANK(Raw_Data!E959), "", DATEVALUE(TEXT(Raw_Data!E959, "YYYY-MM-DD")))</f>
        <v>46032</v>
      </c>
      <c r="F959" s="5">
        <f t="shared" si="1"/>
        <v>2</v>
      </c>
      <c r="G959" s="5">
        <f t="shared" si="2"/>
        <v>2</v>
      </c>
      <c r="H959" s="5" t="str">
        <f t="shared" si="3"/>
        <v>ON TIME</v>
      </c>
      <c r="I959" s="5">
        <f>Raw_Data!F959</f>
        <v>8467</v>
      </c>
      <c r="J959" s="5">
        <f t="shared" si="4"/>
        <v>0</v>
      </c>
    </row>
    <row r="960">
      <c r="A960" s="5" t="str">
        <f>Raw_Data!A960</f>
        <v>TRK100794</v>
      </c>
      <c r="B960" s="5" t="str">
        <f>TRIM(Raw_Data!B960)</f>
        <v>BlueDart</v>
      </c>
      <c r="C960" s="5" t="str">
        <f>TRIM(Raw_Data!C960)</f>
        <v>Metro</v>
      </c>
      <c r="D960" s="6">
        <f>DATEVALUE(TEXT(Raw_Data!D960, "YYYY-MM-DD"))</f>
        <v>46030</v>
      </c>
      <c r="E960" s="6">
        <f>IF(ISBLANK(Raw_Data!E960), "", DATEVALUE(TEXT(Raw_Data!E960, "YYYY-MM-DD")))</f>
        <v>46032</v>
      </c>
      <c r="F960" s="5">
        <f t="shared" si="1"/>
        <v>2</v>
      </c>
      <c r="G960" s="5">
        <f t="shared" si="2"/>
        <v>2</v>
      </c>
      <c r="H960" s="5" t="str">
        <f t="shared" si="3"/>
        <v>ON TIME</v>
      </c>
      <c r="I960" s="5">
        <f>Raw_Data!F960</f>
        <v>9234</v>
      </c>
      <c r="J960" s="5">
        <f t="shared" si="4"/>
        <v>0</v>
      </c>
    </row>
    <row r="961">
      <c r="A961" s="5" t="str">
        <f>Raw_Data!A961</f>
        <v>TRK100535</v>
      </c>
      <c r="B961" s="5" t="str">
        <f>TRIM(Raw_Data!B961)</f>
        <v>Delhivery</v>
      </c>
      <c r="C961" s="5" t="str">
        <f>TRIM(Raw_Data!C961)</f>
        <v>Tier 3</v>
      </c>
      <c r="D961" s="6">
        <f>DATEVALUE(TEXT(Raw_Data!D961, "YYYY-MM-DD"))</f>
        <v>46072</v>
      </c>
      <c r="E961" s="6">
        <f>IF(ISBLANK(Raw_Data!E961), "", DATEVALUE(TEXT(Raw_Data!E961, "YYYY-MM-DD")))</f>
        <v>46079</v>
      </c>
      <c r="F961" s="5">
        <f t="shared" si="1"/>
        <v>6</v>
      </c>
      <c r="G961" s="5">
        <f t="shared" si="2"/>
        <v>6</v>
      </c>
      <c r="H961" s="5" t="str">
        <f t="shared" si="3"/>
        <v>ON TIME</v>
      </c>
      <c r="I961" s="5">
        <f>Raw_Data!F961</f>
        <v>1345</v>
      </c>
      <c r="J961" s="5">
        <f t="shared" si="4"/>
        <v>0</v>
      </c>
    </row>
    <row r="962">
      <c r="A962" s="5" t="str">
        <f>Raw_Data!A962</f>
        <v>TRK100389</v>
      </c>
      <c r="B962" s="5" t="str">
        <f>TRIM(Raw_Data!B962)</f>
        <v>EcomExpress</v>
      </c>
      <c r="C962" s="5" t="str">
        <f>TRIM(Raw_Data!C962)</f>
        <v>Tier 3</v>
      </c>
      <c r="D962" s="6">
        <f>DATEVALUE(TEXT(Raw_Data!D962, "YYYY-MM-DD"))</f>
        <v>46075</v>
      </c>
      <c r="E962" s="6" t="str">
        <f>IF(ISBLANK(Raw_Data!E962), "", DATEVALUE(TEXT(Raw_Data!E962, "YYYY-MM-DD")))</f>
        <v/>
      </c>
      <c r="F962" s="5">
        <f t="shared" si="1"/>
        <v>6</v>
      </c>
      <c r="G962" s="5" t="str">
        <f t="shared" si="2"/>
        <v>In-Transit</v>
      </c>
      <c r="H962" s="5" t="str">
        <f t="shared" si="3"/>
        <v>Pending</v>
      </c>
      <c r="I962" s="5">
        <f>Raw_Data!F962</f>
        <v>6277</v>
      </c>
      <c r="J962" s="5">
        <f t="shared" si="4"/>
        <v>0</v>
      </c>
    </row>
    <row r="963">
      <c r="A963" s="5" t="str">
        <f>Raw_Data!A963</f>
        <v>TRK100461</v>
      </c>
      <c r="B963" s="5" t="str">
        <f>TRIM(Raw_Data!B963)</f>
        <v>EcomExpress</v>
      </c>
      <c r="C963" s="5" t="str">
        <f>TRIM(Raw_Data!C963)</f>
        <v>Metro</v>
      </c>
      <c r="D963" s="6">
        <f>DATEVALUE(TEXT(Raw_Data!D963, "YYYY-MM-DD"))</f>
        <v>46057</v>
      </c>
      <c r="E963" s="6">
        <f>IF(ISBLANK(Raw_Data!E963), "", DATEVALUE(TEXT(Raw_Data!E963, "YYYY-MM-DD")))</f>
        <v>46059</v>
      </c>
      <c r="F963" s="5">
        <f t="shared" si="1"/>
        <v>2</v>
      </c>
      <c r="G963" s="5">
        <f t="shared" si="2"/>
        <v>3</v>
      </c>
      <c r="H963" s="5" t="str">
        <f t="shared" si="3"/>
        <v>SLA BREACH</v>
      </c>
      <c r="I963" s="5">
        <f>Raw_Data!F963</f>
        <v>3536</v>
      </c>
      <c r="J963" s="5">
        <f t="shared" si="4"/>
        <v>176.8</v>
      </c>
    </row>
    <row r="964">
      <c r="A964" s="5" t="str">
        <f>Raw_Data!A964</f>
        <v>TRK100930</v>
      </c>
      <c r="B964" s="5" t="str">
        <f>TRIM(Raw_Data!B964)</f>
        <v>Delhivery</v>
      </c>
      <c r="C964" s="5" t="str">
        <f>TRIM(Raw_Data!C964)</f>
        <v>Tier 3</v>
      </c>
      <c r="D964" s="6">
        <f>DATEVALUE(TEXT(Raw_Data!D964, "YYYY-MM-DD"))</f>
        <v>46025</v>
      </c>
      <c r="E964" s="6">
        <f>IF(ISBLANK(Raw_Data!E964), "", DATEVALUE(TEXT(Raw_Data!E964, "YYYY-MM-DD")))</f>
        <v>46031</v>
      </c>
      <c r="F964" s="5">
        <f t="shared" si="1"/>
        <v>6</v>
      </c>
      <c r="G964" s="5">
        <f t="shared" si="2"/>
        <v>5</v>
      </c>
      <c r="H964" s="5" t="str">
        <f t="shared" si="3"/>
        <v>ON TIME</v>
      </c>
      <c r="I964" s="5">
        <f>Raw_Data!F964</f>
        <v>6447</v>
      </c>
      <c r="J964" s="5">
        <f t="shared" si="4"/>
        <v>0</v>
      </c>
    </row>
    <row r="965">
      <c r="A965" s="5" t="str">
        <f>Raw_Data!A965</f>
        <v>TRK100453</v>
      </c>
      <c r="B965" s="5" t="str">
        <f>TRIM(Raw_Data!B965)</f>
        <v>BlueDart</v>
      </c>
      <c r="C965" s="5" t="str">
        <f>TRIM(Raw_Data!C965)</f>
        <v>Tier 2</v>
      </c>
      <c r="D965" s="6">
        <f>DATEVALUE(TEXT(Raw_Data!D965, "YYYY-MM-DD"))</f>
        <v>46069</v>
      </c>
      <c r="E965" s="6">
        <f>IF(ISBLANK(Raw_Data!E965), "", DATEVALUE(TEXT(Raw_Data!E965, "YYYY-MM-DD")))</f>
        <v>46073</v>
      </c>
      <c r="F965" s="5">
        <f t="shared" si="1"/>
        <v>4</v>
      </c>
      <c r="G965" s="5">
        <f t="shared" si="2"/>
        <v>5</v>
      </c>
      <c r="H965" s="5" t="str">
        <f t="shared" si="3"/>
        <v>SLA BREACH</v>
      </c>
      <c r="I965" s="5">
        <f>Raw_Data!F965</f>
        <v>2994</v>
      </c>
      <c r="J965" s="5">
        <f t="shared" si="4"/>
        <v>149.7</v>
      </c>
    </row>
    <row r="966">
      <c r="A966" s="5" t="str">
        <f>Raw_Data!A966</f>
        <v>TRK100304</v>
      </c>
      <c r="B966" s="5" t="str">
        <f>TRIM(Raw_Data!B966)</f>
        <v>Delhivery</v>
      </c>
      <c r="C966" s="5" t="str">
        <f>TRIM(Raw_Data!C966)</f>
        <v>Metro</v>
      </c>
      <c r="D966" s="6">
        <f>DATEVALUE(TEXT(Raw_Data!D966, "YYYY-MM-DD"))</f>
        <v>46057</v>
      </c>
      <c r="E966" s="6">
        <f>IF(ISBLANK(Raw_Data!E966), "", DATEVALUE(TEXT(Raw_Data!E966, "YYYY-MM-DD")))</f>
        <v>46059</v>
      </c>
      <c r="F966" s="5">
        <f t="shared" si="1"/>
        <v>2</v>
      </c>
      <c r="G966" s="5">
        <f t="shared" si="2"/>
        <v>3</v>
      </c>
      <c r="H966" s="5" t="str">
        <f t="shared" si="3"/>
        <v>SLA BREACH</v>
      </c>
      <c r="I966" s="5">
        <f>Raw_Data!F966</f>
        <v>3219</v>
      </c>
      <c r="J966" s="5">
        <f t="shared" si="4"/>
        <v>160.95</v>
      </c>
    </row>
    <row r="967">
      <c r="A967" s="5" t="str">
        <f>Raw_Data!A967</f>
        <v>TRK100880</v>
      </c>
      <c r="B967" s="5" t="str">
        <f>TRIM(Raw_Data!B967)</f>
        <v>Delhivery</v>
      </c>
      <c r="C967" s="5" t="str">
        <f>TRIM(Raw_Data!C967)</f>
        <v>Tier 2</v>
      </c>
      <c r="D967" s="6">
        <f>DATEVALUE(TEXT(Raw_Data!D967, "YYYY-MM-DD"))</f>
        <v>46050</v>
      </c>
      <c r="E967" s="6">
        <f>IF(ISBLANK(Raw_Data!E967), "", DATEVALUE(TEXT(Raw_Data!E967, "YYYY-MM-DD")))</f>
        <v>46054</v>
      </c>
      <c r="F967" s="5">
        <f t="shared" si="1"/>
        <v>4</v>
      </c>
      <c r="G967" s="5">
        <f t="shared" si="2"/>
        <v>3</v>
      </c>
      <c r="H967" s="5" t="str">
        <f t="shared" si="3"/>
        <v>ON TIME</v>
      </c>
      <c r="I967" s="5">
        <f>Raw_Data!F967</f>
        <v>2384</v>
      </c>
      <c r="J967" s="5">
        <f t="shared" si="4"/>
        <v>0</v>
      </c>
    </row>
    <row r="968">
      <c r="A968" s="5" t="str">
        <f>Raw_Data!A968</f>
        <v>TRK100602</v>
      </c>
      <c r="B968" s="5" t="str">
        <f>TRIM(Raw_Data!B968)</f>
        <v>EcomExpress</v>
      </c>
      <c r="C968" s="5" t="str">
        <f>TRIM(Raw_Data!C968)</f>
        <v>Tier 2</v>
      </c>
      <c r="D968" s="6">
        <f>DATEVALUE(TEXT(Raw_Data!D968, "YYYY-MM-DD"))</f>
        <v>46070</v>
      </c>
      <c r="E968" s="6">
        <f>IF(ISBLANK(Raw_Data!E968), "", DATEVALUE(TEXT(Raw_Data!E968, "YYYY-MM-DD")))</f>
        <v>46075</v>
      </c>
      <c r="F968" s="5">
        <f t="shared" si="1"/>
        <v>4</v>
      </c>
      <c r="G968" s="5">
        <f t="shared" si="2"/>
        <v>4</v>
      </c>
      <c r="H968" s="5" t="str">
        <f t="shared" si="3"/>
        <v>ON TIME</v>
      </c>
      <c r="I968" s="5">
        <f>Raw_Data!F968</f>
        <v>4849</v>
      </c>
      <c r="J968" s="5">
        <f t="shared" si="4"/>
        <v>0</v>
      </c>
    </row>
    <row r="969">
      <c r="A969" s="5" t="str">
        <f>Raw_Data!A969</f>
        <v>TRK100439</v>
      </c>
      <c r="B969" s="5" t="str">
        <f>TRIM(Raw_Data!B969)</f>
        <v>BlueDart</v>
      </c>
      <c r="C969" s="5" t="str">
        <f>TRIM(Raw_Data!C969)</f>
        <v>Tier 3</v>
      </c>
      <c r="D969" s="6">
        <f>DATEVALUE(TEXT(Raw_Data!D969, "YYYY-MM-DD"))</f>
        <v>46071</v>
      </c>
      <c r="E969" s="6">
        <f>IF(ISBLANK(Raw_Data!E969), "", DATEVALUE(TEXT(Raw_Data!E969, "YYYY-MM-DD")))</f>
        <v>46077</v>
      </c>
      <c r="F969" s="5">
        <f t="shared" si="1"/>
        <v>6</v>
      </c>
      <c r="G969" s="5">
        <f t="shared" si="2"/>
        <v>5</v>
      </c>
      <c r="H969" s="5" t="str">
        <f t="shared" si="3"/>
        <v>ON TIME</v>
      </c>
      <c r="I969" s="5">
        <f>Raw_Data!F969</f>
        <v>11893</v>
      </c>
      <c r="J969" s="5">
        <f t="shared" si="4"/>
        <v>0</v>
      </c>
    </row>
    <row r="970">
      <c r="A970" s="5" t="str">
        <f>Raw_Data!A970</f>
        <v>TRK100312</v>
      </c>
      <c r="B970" s="5" t="str">
        <f>TRIM(Raw_Data!B970)</f>
        <v>EcomExpress</v>
      </c>
      <c r="C970" s="5" t="str">
        <f>TRIM(Raw_Data!C970)</f>
        <v>Tier 3</v>
      </c>
      <c r="D970" s="6">
        <f>DATEVALUE(TEXT(Raw_Data!D970, "YYYY-MM-DD"))</f>
        <v>46042</v>
      </c>
      <c r="E970" s="6">
        <f>IF(ISBLANK(Raw_Data!E970), "", DATEVALUE(TEXT(Raw_Data!E970, "YYYY-MM-DD")))</f>
        <v>46048</v>
      </c>
      <c r="F970" s="5">
        <f t="shared" si="1"/>
        <v>6</v>
      </c>
      <c r="G970" s="5">
        <f t="shared" si="2"/>
        <v>5</v>
      </c>
      <c r="H970" s="5" t="str">
        <f t="shared" si="3"/>
        <v>ON TIME</v>
      </c>
      <c r="I970" s="5">
        <f>Raw_Data!F970</f>
        <v>5679</v>
      </c>
      <c r="J970" s="5">
        <f t="shared" si="4"/>
        <v>0</v>
      </c>
    </row>
    <row r="971">
      <c r="A971" s="5" t="str">
        <f>Raw_Data!A971</f>
        <v>TRK100582</v>
      </c>
      <c r="B971" s="5" t="str">
        <f>TRIM(Raw_Data!B971)</f>
        <v>Delhivery</v>
      </c>
      <c r="C971" s="5" t="str">
        <f>TRIM(Raw_Data!C971)</f>
        <v>Metro</v>
      </c>
      <c r="D971" s="6">
        <f>DATEVALUE(TEXT(Raw_Data!D971, "YYYY-MM-DD"))</f>
        <v>46051</v>
      </c>
      <c r="E971" s="6">
        <f>IF(ISBLANK(Raw_Data!E971), "", DATEVALUE(TEXT(Raw_Data!E971, "YYYY-MM-DD")))</f>
        <v>46053</v>
      </c>
      <c r="F971" s="5">
        <f t="shared" si="1"/>
        <v>2</v>
      </c>
      <c r="G971" s="5">
        <f t="shared" si="2"/>
        <v>2</v>
      </c>
      <c r="H971" s="5" t="str">
        <f t="shared" si="3"/>
        <v>ON TIME</v>
      </c>
      <c r="I971" s="5">
        <f>Raw_Data!F971</f>
        <v>11402</v>
      </c>
      <c r="J971" s="5">
        <f t="shared" si="4"/>
        <v>0</v>
      </c>
    </row>
    <row r="972">
      <c r="A972" s="5" t="str">
        <f>Raw_Data!A972</f>
        <v>TRK100635</v>
      </c>
      <c r="B972" s="5" t="str">
        <f>TRIM(Raw_Data!B972)</f>
        <v>EcomExpress</v>
      </c>
      <c r="C972" s="5" t="str">
        <f>TRIM(Raw_Data!C972)</f>
        <v>Tier 2</v>
      </c>
      <c r="D972" s="6">
        <f>DATEVALUE(TEXT(Raw_Data!D972, "YYYY-MM-DD"))</f>
        <v>46045</v>
      </c>
      <c r="E972" s="6">
        <f>IF(ISBLANK(Raw_Data!E972), "", DATEVALUE(TEXT(Raw_Data!E972, "YYYY-MM-DD")))</f>
        <v>46049</v>
      </c>
      <c r="F972" s="5">
        <f t="shared" si="1"/>
        <v>4</v>
      </c>
      <c r="G972" s="5">
        <f t="shared" si="2"/>
        <v>3</v>
      </c>
      <c r="H972" s="5" t="str">
        <f t="shared" si="3"/>
        <v>ON TIME</v>
      </c>
      <c r="I972" s="5">
        <f>Raw_Data!F972</f>
        <v>7110</v>
      </c>
      <c r="J972" s="5">
        <f t="shared" si="4"/>
        <v>0</v>
      </c>
    </row>
    <row r="973">
      <c r="A973" s="5" t="str">
        <f>Raw_Data!A973</f>
        <v>TRK100061</v>
      </c>
      <c r="B973" s="5" t="str">
        <f>TRIM(Raw_Data!B973)</f>
        <v>BlueDart</v>
      </c>
      <c r="C973" s="5" t="str">
        <f>TRIM(Raw_Data!C973)</f>
        <v>Tier 3</v>
      </c>
      <c r="D973" s="6">
        <f>DATEVALUE(TEXT(Raw_Data!D973, "YYYY-MM-DD"))</f>
        <v>46051</v>
      </c>
      <c r="E973" s="6">
        <f>IF(ISBLANK(Raw_Data!E973), "", DATEVALUE(TEXT(Raw_Data!E973, "YYYY-MM-DD")))</f>
        <v>46060</v>
      </c>
      <c r="F973" s="5">
        <f t="shared" si="1"/>
        <v>6</v>
      </c>
      <c r="G973" s="5">
        <f t="shared" si="2"/>
        <v>7</v>
      </c>
      <c r="H973" s="5" t="str">
        <f t="shared" si="3"/>
        <v>SLA BREACH</v>
      </c>
      <c r="I973" s="5">
        <f>Raw_Data!F973</f>
        <v>6930</v>
      </c>
      <c r="J973" s="5">
        <f t="shared" si="4"/>
        <v>346.5</v>
      </c>
    </row>
    <row r="974">
      <c r="A974" s="5" t="str">
        <f>Raw_Data!A974</f>
        <v>TRK100624</v>
      </c>
      <c r="B974" s="5" t="str">
        <f>TRIM(Raw_Data!B974)</f>
        <v>Delhivery</v>
      </c>
      <c r="C974" s="5" t="str">
        <f>TRIM(Raw_Data!C974)</f>
        <v>Tier 2</v>
      </c>
      <c r="D974" s="6">
        <f>DATEVALUE(TEXT(Raw_Data!D974, "YYYY-MM-DD"))</f>
        <v>46072</v>
      </c>
      <c r="E974" s="6">
        <f>IF(ISBLANK(Raw_Data!E974), "", DATEVALUE(TEXT(Raw_Data!E974, "YYYY-MM-DD")))</f>
        <v>46077</v>
      </c>
      <c r="F974" s="5">
        <f t="shared" si="1"/>
        <v>4</v>
      </c>
      <c r="G974" s="5">
        <f t="shared" si="2"/>
        <v>4</v>
      </c>
      <c r="H974" s="5" t="str">
        <f t="shared" si="3"/>
        <v>ON TIME</v>
      </c>
      <c r="I974" s="5">
        <f>Raw_Data!F974</f>
        <v>7654</v>
      </c>
      <c r="J974" s="5">
        <f t="shared" si="4"/>
        <v>0</v>
      </c>
    </row>
    <row r="975">
      <c r="A975" s="5" t="str">
        <f>Raw_Data!A975</f>
        <v>TRK100757</v>
      </c>
      <c r="B975" s="5" t="str">
        <f>TRIM(Raw_Data!B975)</f>
        <v>Delhivery</v>
      </c>
      <c r="C975" s="5" t="str">
        <f>TRIM(Raw_Data!C975)</f>
        <v>Tier 3</v>
      </c>
      <c r="D975" s="6">
        <f>DATEVALUE(TEXT(Raw_Data!D975, "YYYY-MM-DD"))</f>
        <v>46038</v>
      </c>
      <c r="E975" s="6">
        <f>IF(ISBLANK(Raw_Data!E975), "", DATEVALUE(TEXT(Raw_Data!E975, "YYYY-MM-DD")))</f>
        <v>46044</v>
      </c>
      <c r="F975" s="5">
        <f t="shared" si="1"/>
        <v>6</v>
      </c>
      <c r="G975" s="5">
        <f t="shared" si="2"/>
        <v>5</v>
      </c>
      <c r="H975" s="5" t="str">
        <f t="shared" si="3"/>
        <v>ON TIME</v>
      </c>
      <c r="I975" s="5">
        <f>Raw_Data!F975</f>
        <v>10645</v>
      </c>
      <c r="J975" s="5">
        <f t="shared" si="4"/>
        <v>0</v>
      </c>
    </row>
    <row r="976">
      <c r="A976" s="5" t="str">
        <f>Raw_Data!A976</f>
        <v>TRK100101</v>
      </c>
      <c r="B976" s="5" t="str">
        <f>TRIM(Raw_Data!B976)</f>
        <v>EcomExpress</v>
      </c>
      <c r="C976" s="5" t="str">
        <f>TRIM(Raw_Data!C976)</f>
        <v>Tier 2</v>
      </c>
      <c r="D976" s="6">
        <f>DATEVALUE(TEXT(Raw_Data!D976, "YYYY-MM-DD"))</f>
        <v>46074</v>
      </c>
      <c r="E976" s="6">
        <f>IF(ISBLANK(Raw_Data!E976), "", DATEVALUE(TEXT(Raw_Data!E976, "YYYY-MM-DD")))</f>
        <v>46078</v>
      </c>
      <c r="F976" s="5">
        <f t="shared" si="1"/>
        <v>4</v>
      </c>
      <c r="G976" s="5">
        <f t="shared" si="2"/>
        <v>3</v>
      </c>
      <c r="H976" s="5" t="str">
        <f t="shared" si="3"/>
        <v>ON TIME</v>
      </c>
      <c r="I976" s="5">
        <f>Raw_Data!F976</f>
        <v>6988</v>
      </c>
      <c r="J976" s="5">
        <f t="shared" si="4"/>
        <v>0</v>
      </c>
    </row>
    <row r="977">
      <c r="A977" s="5" t="str">
        <f>Raw_Data!A977</f>
        <v>TRK100781</v>
      </c>
      <c r="B977" s="5" t="str">
        <f>TRIM(Raw_Data!B977)</f>
        <v>BlueDart</v>
      </c>
      <c r="C977" s="5" t="str">
        <f>TRIM(Raw_Data!C977)</f>
        <v>Metro</v>
      </c>
      <c r="D977" s="6">
        <f>DATEVALUE(TEXT(Raw_Data!D977, "YYYY-MM-DD"))</f>
        <v>46060</v>
      </c>
      <c r="E977" s="6">
        <f>IF(ISBLANK(Raw_Data!E977), "", DATEVALUE(TEXT(Raw_Data!E977, "YYYY-MM-DD")))</f>
        <v>46062</v>
      </c>
      <c r="F977" s="5">
        <f t="shared" si="1"/>
        <v>2</v>
      </c>
      <c r="G977" s="5">
        <f t="shared" si="2"/>
        <v>1</v>
      </c>
      <c r="H977" s="5" t="str">
        <f t="shared" si="3"/>
        <v>ON TIME</v>
      </c>
      <c r="I977" s="5">
        <f>Raw_Data!F977</f>
        <v>5237</v>
      </c>
      <c r="J977" s="5">
        <f t="shared" si="4"/>
        <v>0</v>
      </c>
    </row>
    <row r="978">
      <c r="A978" s="5" t="str">
        <f>Raw_Data!A978</f>
        <v>TRK100212</v>
      </c>
      <c r="B978" s="5" t="str">
        <f>TRIM(Raw_Data!B978)</f>
        <v>BlueDart</v>
      </c>
      <c r="C978" s="5" t="str">
        <f>TRIM(Raw_Data!C978)</f>
        <v>Tier 3</v>
      </c>
      <c r="D978" s="6">
        <f>DATEVALUE(TEXT(Raw_Data!D978, "YYYY-MM-DD"))</f>
        <v>46045</v>
      </c>
      <c r="E978" s="6">
        <f>IF(ISBLANK(Raw_Data!E978), "", DATEVALUE(TEXT(Raw_Data!E978, "YYYY-MM-DD")))</f>
        <v>46051</v>
      </c>
      <c r="F978" s="5">
        <f t="shared" si="1"/>
        <v>6</v>
      </c>
      <c r="G978" s="5">
        <f t="shared" si="2"/>
        <v>5</v>
      </c>
      <c r="H978" s="5" t="str">
        <f t="shared" si="3"/>
        <v>ON TIME</v>
      </c>
      <c r="I978" s="5">
        <f>Raw_Data!F978</f>
        <v>7025</v>
      </c>
      <c r="J978" s="5">
        <f t="shared" si="4"/>
        <v>0</v>
      </c>
    </row>
    <row r="979">
      <c r="A979" s="5" t="str">
        <f>Raw_Data!A979</f>
        <v>TRK100640</v>
      </c>
      <c r="B979" s="5" t="str">
        <f>TRIM(Raw_Data!B979)</f>
        <v>BlueDart</v>
      </c>
      <c r="C979" s="5" t="str">
        <f>TRIM(Raw_Data!C979)</f>
        <v>Metro</v>
      </c>
      <c r="D979" s="6">
        <f>DATEVALUE(TEXT(Raw_Data!D979, "YYYY-MM-DD"))</f>
        <v>46062</v>
      </c>
      <c r="E979" s="6">
        <f>IF(ISBLANK(Raw_Data!E979), "", DATEVALUE(TEXT(Raw_Data!E979, "YYYY-MM-DD")))</f>
        <v>46064</v>
      </c>
      <c r="F979" s="5">
        <f t="shared" si="1"/>
        <v>2</v>
      </c>
      <c r="G979" s="5">
        <f t="shared" si="2"/>
        <v>3</v>
      </c>
      <c r="H979" s="5" t="str">
        <f t="shared" si="3"/>
        <v>SLA BREACH</v>
      </c>
      <c r="I979" s="5">
        <f>Raw_Data!F979</f>
        <v>4350</v>
      </c>
      <c r="J979" s="5">
        <f t="shared" si="4"/>
        <v>217.5</v>
      </c>
    </row>
    <row r="980">
      <c r="A980" s="5" t="str">
        <f>Raw_Data!A980</f>
        <v>TRK100216</v>
      </c>
      <c r="B980" s="5" t="str">
        <f>TRIM(Raw_Data!B980)</f>
        <v>BlueDart</v>
      </c>
      <c r="C980" s="5" t="str">
        <f>TRIM(Raw_Data!C980)</f>
        <v>Tier 2</v>
      </c>
      <c r="D980" s="6">
        <f>DATEVALUE(TEXT(Raw_Data!D980, "YYYY-MM-DD"))</f>
        <v>46050</v>
      </c>
      <c r="E980" s="6">
        <f>IF(ISBLANK(Raw_Data!E980), "", DATEVALUE(TEXT(Raw_Data!E980, "YYYY-MM-DD")))</f>
        <v>46054</v>
      </c>
      <c r="F980" s="5">
        <f t="shared" si="1"/>
        <v>4</v>
      </c>
      <c r="G980" s="5">
        <f t="shared" si="2"/>
        <v>3</v>
      </c>
      <c r="H980" s="5" t="str">
        <f t="shared" si="3"/>
        <v>ON TIME</v>
      </c>
      <c r="I980" s="5">
        <f>Raw_Data!F980</f>
        <v>1189</v>
      </c>
      <c r="J980" s="5">
        <f t="shared" si="4"/>
        <v>0</v>
      </c>
    </row>
    <row r="981">
      <c r="A981" s="5" t="str">
        <f>Raw_Data!A981</f>
        <v>TRK100270</v>
      </c>
      <c r="B981" s="5" t="str">
        <f>TRIM(Raw_Data!B981)</f>
        <v>BlueDart</v>
      </c>
      <c r="C981" s="5" t="str">
        <f>TRIM(Raw_Data!C981)</f>
        <v>Tier 2</v>
      </c>
      <c r="D981" s="6">
        <f>DATEVALUE(TEXT(Raw_Data!D981, "YYYY-MM-DD"))</f>
        <v>46062</v>
      </c>
      <c r="E981" s="6">
        <f>IF(ISBLANK(Raw_Data!E981), "", DATEVALUE(TEXT(Raw_Data!E981, "YYYY-MM-DD")))</f>
        <v>46066</v>
      </c>
      <c r="F981" s="5">
        <f t="shared" si="1"/>
        <v>4</v>
      </c>
      <c r="G981" s="5">
        <f t="shared" si="2"/>
        <v>5</v>
      </c>
      <c r="H981" s="5" t="str">
        <f t="shared" si="3"/>
        <v>SLA BREACH</v>
      </c>
      <c r="I981" s="5">
        <f>Raw_Data!F981</f>
        <v>10642</v>
      </c>
      <c r="J981" s="5">
        <f t="shared" si="4"/>
        <v>532.1</v>
      </c>
    </row>
    <row r="982">
      <c r="A982" s="5" t="str">
        <f>Raw_Data!A982</f>
        <v>TRK100676</v>
      </c>
      <c r="B982" s="5" t="str">
        <f>TRIM(Raw_Data!B982)</f>
        <v>Delhivery</v>
      </c>
      <c r="C982" s="5" t="str">
        <f>TRIM(Raw_Data!C982)</f>
        <v>Metro</v>
      </c>
      <c r="D982" s="6">
        <f>DATEVALUE(TEXT(Raw_Data!D982, "YYYY-MM-DD"))</f>
        <v>46073</v>
      </c>
      <c r="E982" s="6">
        <f>IF(ISBLANK(Raw_Data!E982), "", DATEVALUE(TEXT(Raw_Data!E982, "YYYY-MM-DD")))</f>
        <v>46075</v>
      </c>
      <c r="F982" s="5">
        <f t="shared" si="1"/>
        <v>2</v>
      </c>
      <c r="G982" s="5">
        <f t="shared" si="2"/>
        <v>1</v>
      </c>
      <c r="H982" s="5" t="str">
        <f t="shared" si="3"/>
        <v>ON TIME</v>
      </c>
      <c r="I982" s="5">
        <f>Raw_Data!F982</f>
        <v>5675</v>
      </c>
      <c r="J982" s="5">
        <f t="shared" si="4"/>
        <v>0</v>
      </c>
    </row>
    <row r="983">
      <c r="A983" s="5" t="str">
        <f>Raw_Data!A983</f>
        <v>TRK100083</v>
      </c>
      <c r="B983" s="5" t="str">
        <f>TRIM(Raw_Data!B983)</f>
        <v>Delhivery</v>
      </c>
      <c r="C983" s="5" t="str">
        <f>TRIM(Raw_Data!C983)</f>
        <v>Tier 2</v>
      </c>
      <c r="D983" s="6">
        <f>DATEVALUE(TEXT(Raw_Data!D983, "YYYY-MM-DD"))</f>
        <v>46075</v>
      </c>
      <c r="E983" s="6">
        <f>IF(ISBLANK(Raw_Data!E983), "", DATEVALUE(TEXT(Raw_Data!E983, "YYYY-MM-DD")))</f>
        <v>46080</v>
      </c>
      <c r="F983" s="5">
        <f t="shared" si="1"/>
        <v>4</v>
      </c>
      <c r="G983" s="5">
        <f t="shared" si="2"/>
        <v>5</v>
      </c>
      <c r="H983" s="5" t="str">
        <f t="shared" si="3"/>
        <v>SLA BREACH</v>
      </c>
      <c r="I983" s="5">
        <f>Raw_Data!F983</f>
        <v>9148</v>
      </c>
      <c r="J983" s="5">
        <f t="shared" si="4"/>
        <v>457.4</v>
      </c>
    </row>
    <row r="984">
      <c r="A984" s="5" t="str">
        <f>Raw_Data!A984</f>
        <v>TRK100160</v>
      </c>
      <c r="B984" s="5" t="str">
        <f>TRIM(Raw_Data!B984)</f>
        <v>BlueDart</v>
      </c>
      <c r="C984" s="5" t="str">
        <f>TRIM(Raw_Data!C984)</f>
        <v>Tier 3</v>
      </c>
      <c r="D984" s="6">
        <f>DATEVALUE(TEXT(Raw_Data!D984, "YYYY-MM-DD"))</f>
        <v>46074</v>
      </c>
      <c r="E984" s="6">
        <f>IF(ISBLANK(Raw_Data!E984), "", DATEVALUE(TEXT(Raw_Data!E984, "YYYY-MM-DD")))</f>
        <v>46080</v>
      </c>
      <c r="F984" s="5">
        <f t="shared" si="1"/>
        <v>6</v>
      </c>
      <c r="G984" s="5">
        <f t="shared" si="2"/>
        <v>5</v>
      </c>
      <c r="H984" s="5" t="str">
        <f t="shared" si="3"/>
        <v>ON TIME</v>
      </c>
      <c r="I984" s="5">
        <f>Raw_Data!F984</f>
        <v>5578</v>
      </c>
      <c r="J984" s="5">
        <f t="shared" si="4"/>
        <v>0</v>
      </c>
    </row>
    <row r="985">
      <c r="A985" s="5" t="str">
        <f>Raw_Data!A985</f>
        <v>TRK100245</v>
      </c>
      <c r="B985" s="5" t="str">
        <f>TRIM(Raw_Data!B985)</f>
        <v>BlueDart</v>
      </c>
      <c r="C985" s="5" t="str">
        <f>TRIM(Raw_Data!C985)</f>
        <v>Tier 3</v>
      </c>
      <c r="D985" s="6">
        <f>DATEVALUE(TEXT(Raw_Data!D985, "YYYY-MM-DD"))</f>
        <v>46059</v>
      </c>
      <c r="E985" s="6">
        <f>IF(ISBLANK(Raw_Data!E985), "", DATEVALUE(TEXT(Raw_Data!E985, "YYYY-MM-DD")))</f>
        <v>46065</v>
      </c>
      <c r="F985" s="5">
        <f t="shared" si="1"/>
        <v>6</v>
      </c>
      <c r="G985" s="5">
        <f t="shared" si="2"/>
        <v>5</v>
      </c>
      <c r="H985" s="5" t="str">
        <f t="shared" si="3"/>
        <v>ON TIME</v>
      </c>
      <c r="I985" s="5">
        <f>Raw_Data!F985</f>
        <v>10822</v>
      </c>
      <c r="J985" s="5">
        <f t="shared" si="4"/>
        <v>0</v>
      </c>
    </row>
    <row r="986">
      <c r="A986" s="5" t="str">
        <f>Raw_Data!A986</f>
        <v>TRK100177</v>
      </c>
      <c r="B986" s="5" t="str">
        <f>TRIM(Raw_Data!B986)</f>
        <v>Delhivery</v>
      </c>
      <c r="C986" s="5" t="str">
        <f>TRIM(Raw_Data!C986)</f>
        <v>Tier 2</v>
      </c>
      <c r="D986" s="6">
        <f>DATEVALUE(TEXT(Raw_Data!D986, "YYYY-MM-DD"))</f>
        <v>46057</v>
      </c>
      <c r="E986" s="6">
        <f>IF(ISBLANK(Raw_Data!E986), "", DATEVALUE(TEXT(Raw_Data!E986, "YYYY-MM-DD")))</f>
        <v>46062</v>
      </c>
      <c r="F986" s="5">
        <f t="shared" si="1"/>
        <v>4</v>
      </c>
      <c r="G986" s="5">
        <f t="shared" si="2"/>
        <v>4</v>
      </c>
      <c r="H986" s="5" t="str">
        <f t="shared" si="3"/>
        <v>ON TIME</v>
      </c>
      <c r="I986" s="5">
        <f>Raw_Data!F986</f>
        <v>5948</v>
      </c>
      <c r="J986" s="5">
        <f t="shared" si="4"/>
        <v>0</v>
      </c>
    </row>
    <row r="987">
      <c r="A987" s="5" t="str">
        <f>Raw_Data!A987</f>
        <v>TRK100565</v>
      </c>
      <c r="B987" s="5" t="str">
        <f>TRIM(Raw_Data!B987)</f>
        <v>Delhivery</v>
      </c>
      <c r="C987" s="5" t="str">
        <f>TRIM(Raw_Data!C987)</f>
        <v>Tier 2</v>
      </c>
      <c r="D987" s="6">
        <f>DATEVALUE(TEXT(Raw_Data!D987, "YYYY-MM-DD"))</f>
        <v>46061</v>
      </c>
      <c r="E987" s="6">
        <f>IF(ISBLANK(Raw_Data!E987), "", DATEVALUE(TEXT(Raw_Data!E987, "YYYY-MM-DD")))</f>
        <v>46065</v>
      </c>
      <c r="F987" s="5">
        <f t="shared" si="1"/>
        <v>4</v>
      </c>
      <c r="G987" s="5">
        <f t="shared" si="2"/>
        <v>4</v>
      </c>
      <c r="H987" s="5" t="str">
        <f t="shared" si="3"/>
        <v>ON TIME</v>
      </c>
      <c r="I987" s="5">
        <f>Raw_Data!F987</f>
        <v>1679</v>
      </c>
      <c r="J987" s="5">
        <f t="shared" si="4"/>
        <v>0</v>
      </c>
    </row>
    <row r="988">
      <c r="A988" s="5" t="str">
        <f>Raw_Data!A988</f>
        <v>TRK100076</v>
      </c>
      <c r="B988" s="5" t="str">
        <f>TRIM(Raw_Data!B988)</f>
        <v>BlueDart</v>
      </c>
      <c r="C988" s="5" t="str">
        <f>TRIM(Raw_Data!C988)</f>
        <v>Tier 2</v>
      </c>
      <c r="D988" s="6">
        <f>DATEVALUE(TEXT(Raw_Data!D988, "YYYY-MM-DD"))</f>
        <v>46033</v>
      </c>
      <c r="E988" s="6">
        <f>IF(ISBLANK(Raw_Data!E988), "", DATEVALUE(TEXT(Raw_Data!E988, "YYYY-MM-DD")))</f>
        <v>46037</v>
      </c>
      <c r="F988" s="5">
        <f t="shared" si="1"/>
        <v>4</v>
      </c>
      <c r="G988" s="5">
        <f t="shared" si="2"/>
        <v>4</v>
      </c>
      <c r="H988" s="5" t="str">
        <f t="shared" si="3"/>
        <v>ON TIME</v>
      </c>
      <c r="I988" s="5">
        <f>Raw_Data!F988</f>
        <v>9574</v>
      </c>
      <c r="J988" s="5">
        <f t="shared" si="4"/>
        <v>0</v>
      </c>
    </row>
    <row r="989">
      <c r="A989" s="5" t="str">
        <f>Raw_Data!A989</f>
        <v>TRK100160</v>
      </c>
      <c r="B989" s="5" t="str">
        <f>TRIM(Raw_Data!B989)</f>
        <v>BlueDart</v>
      </c>
      <c r="C989" s="5" t="str">
        <f>TRIM(Raw_Data!C989)</f>
        <v>Tier 2</v>
      </c>
      <c r="D989" s="6">
        <f>DATEVALUE(TEXT(Raw_Data!D989, "YYYY-MM-DD"))</f>
        <v>46068</v>
      </c>
      <c r="E989" s="6">
        <f>IF(ISBLANK(Raw_Data!E989), "", DATEVALUE(TEXT(Raw_Data!E989, "YYYY-MM-DD")))</f>
        <v>46072</v>
      </c>
      <c r="F989" s="5">
        <f t="shared" si="1"/>
        <v>4</v>
      </c>
      <c r="G989" s="5">
        <f t="shared" si="2"/>
        <v>4</v>
      </c>
      <c r="H989" s="5" t="str">
        <f t="shared" si="3"/>
        <v>ON TIME</v>
      </c>
      <c r="I989" s="5">
        <f>Raw_Data!F989</f>
        <v>6906</v>
      </c>
      <c r="J989" s="5">
        <f t="shared" si="4"/>
        <v>0</v>
      </c>
    </row>
    <row r="990">
      <c r="A990" s="5" t="str">
        <f>Raw_Data!A990</f>
        <v>TRK100002</v>
      </c>
      <c r="B990" s="5" t="str">
        <f>TRIM(Raw_Data!B990)</f>
        <v>Delhivery</v>
      </c>
      <c r="C990" s="5" t="str">
        <f>TRIM(Raw_Data!C990)</f>
        <v>Tier 3</v>
      </c>
      <c r="D990" s="6">
        <f>DATEVALUE(TEXT(Raw_Data!D990, "YYYY-MM-DD"))</f>
        <v>46041</v>
      </c>
      <c r="E990" s="6">
        <f>IF(ISBLANK(Raw_Data!E990), "", DATEVALUE(TEXT(Raw_Data!E990, "YYYY-MM-DD")))</f>
        <v>46047</v>
      </c>
      <c r="F990" s="5">
        <f t="shared" si="1"/>
        <v>6</v>
      </c>
      <c r="G990" s="5">
        <f t="shared" si="2"/>
        <v>5</v>
      </c>
      <c r="H990" s="5" t="str">
        <f t="shared" si="3"/>
        <v>ON TIME</v>
      </c>
      <c r="I990" s="5">
        <f>Raw_Data!F990</f>
        <v>9091</v>
      </c>
      <c r="J990" s="5">
        <f t="shared" si="4"/>
        <v>0</v>
      </c>
    </row>
    <row r="991">
      <c r="A991" s="5" t="str">
        <f>Raw_Data!A991</f>
        <v>TRK100418</v>
      </c>
      <c r="B991" s="5" t="str">
        <f>TRIM(Raw_Data!B991)</f>
        <v>EcomExpress</v>
      </c>
      <c r="C991" s="5" t="str">
        <f>TRIM(Raw_Data!C991)</f>
        <v>Tier 3</v>
      </c>
      <c r="D991" s="6">
        <f>DATEVALUE(TEXT(Raw_Data!D991, "YYYY-MM-DD"))</f>
        <v>46040</v>
      </c>
      <c r="E991" s="6">
        <f>IF(ISBLANK(Raw_Data!E991), "", DATEVALUE(TEXT(Raw_Data!E991, "YYYY-MM-DD")))</f>
        <v>46047</v>
      </c>
      <c r="F991" s="5">
        <f t="shared" si="1"/>
        <v>6</v>
      </c>
      <c r="G991" s="5">
        <f t="shared" si="2"/>
        <v>5</v>
      </c>
      <c r="H991" s="5" t="str">
        <f t="shared" si="3"/>
        <v>ON TIME</v>
      </c>
      <c r="I991" s="5">
        <f>Raw_Data!F991</f>
        <v>7407</v>
      </c>
      <c r="J991" s="5">
        <f t="shared" si="4"/>
        <v>0</v>
      </c>
    </row>
    <row r="992">
      <c r="A992" s="5" t="str">
        <f>Raw_Data!A992</f>
        <v>TRK100461</v>
      </c>
      <c r="B992" s="5" t="str">
        <f>TRIM(Raw_Data!B992)</f>
        <v>EcomExpress</v>
      </c>
      <c r="C992" s="5" t="str">
        <f>TRIM(Raw_Data!C992)</f>
        <v>Tier 2</v>
      </c>
      <c r="D992" s="6">
        <f>DATEVALUE(TEXT(Raw_Data!D992, "YYYY-MM-DD"))</f>
        <v>46080</v>
      </c>
      <c r="E992" s="6" t="str">
        <f>IF(ISBLANK(Raw_Data!E992), "", DATEVALUE(TEXT(Raw_Data!E992, "YYYY-MM-DD")))</f>
        <v/>
      </c>
      <c r="F992" s="5">
        <f t="shared" si="1"/>
        <v>4</v>
      </c>
      <c r="G992" s="5" t="str">
        <f t="shared" si="2"/>
        <v>In-Transit</v>
      </c>
      <c r="H992" s="5" t="str">
        <f t="shared" si="3"/>
        <v>Pending</v>
      </c>
      <c r="I992" s="5">
        <f>Raw_Data!F992</f>
        <v>9300</v>
      </c>
      <c r="J992" s="5">
        <f t="shared" si="4"/>
        <v>0</v>
      </c>
    </row>
    <row r="993">
      <c r="A993" s="5" t="str">
        <f>Raw_Data!A993</f>
        <v>TRK100705</v>
      </c>
      <c r="B993" s="5" t="str">
        <f>TRIM(Raw_Data!B993)</f>
        <v>EcomExpress</v>
      </c>
      <c r="C993" s="5" t="str">
        <f>TRIM(Raw_Data!C993)</f>
        <v>Metro</v>
      </c>
      <c r="D993" s="6">
        <f>DATEVALUE(TEXT(Raw_Data!D993, "YYYY-MM-DD"))</f>
        <v>46075</v>
      </c>
      <c r="E993" s="6">
        <f>IF(ISBLANK(Raw_Data!E993), "", DATEVALUE(TEXT(Raw_Data!E993, "YYYY-MM-DD")))</f>
        <v>46077</v>
      </c>
      <c r="F993" s="5">
        <f t="shared" si="1"/>
        <v>2</v>
      </c>
      <c r="G993" s="5">
        <f t="shared" si="2"/>
        <v>2</v>
      </c>
      <c r="H993" s="5" t="str">
        <f t="shared" si="3"/>
        <v>ON TIME</v>
      </c>
      <c r="I993" s="5">
        <f>Raw_Data!F993</f>
        <v>2138</v>
      </c>
      <c r="J993" s="5">
        <f t="shared" si="4"/>
        <v>0</v>
      </c>
    </row>
    <row r="994">
      <c r="A994" s="5" t="str">
        <f>Raw_Data!A994</f>
        <v>TRK100608</v>
      </c>
      <c r="B994" s="5" t="str">
        <f>TRIM(Raw_Data!B994)</f>
        <v>Delhivery</v>
      </c>
      <c r="C994" s="5" t="str">
        <f>TRIM(Raw_Data!C994)</f>
        <v>Metro</v>
      </c>
      <c r="D994" s="6">
        <f>DATEVALUE(TEXT(Raw_Data!D994, "YYYY-MM-DD"))</f>
        <v>46031</v>
      </c>
      <c r="E994" s="6">
        <f>IF(ISBLANK(Raw_Data!E994), "", DATEVALUE(TEXT(Raw_Data!E994, "YYYY-MM-DD")))</f>
        <v>46033</v>
      </c>
      <c r="F994" s="5">
        <f t="shared" si="1"/>
        <v>2</v>
      </c>
      <c r="G994" s="5">
        <f t="shared" si="2"/>
        <v>1</v>
      </c>
      <c r="H994" s="5" t="str">
        <f t="shared" si="3"/>
        <v>ON TIME</v>
      </c>
      <c r="I994" s="5">
        <f>Raw_Data!F994</f>
        <v>6171</v>
      </c>
      <c r="J994" s="5">
        <f t="shared" si="4"/>
        <v>0</v>
      </c>
    </row>
    <row r="995">
      <c r="A995" s="5" t="str">
        <f>Raw_Data!A995</f>
        <v>TRK100481</v>
      </c>
      <c r="B995" s="5" t="str">
        <f>TRIM(Raw_Data!B995)</f>
        <v>Delhivery</v>
      </c>
      <c r="C995" s="5" t="str">
        <f>TRIM(Raw_Data!C995)</f>
        <v>Tier 3</v>
      </c>
      <c r="D995" s="6">
        <f>DATEVALUE(TEXT(Raw_Data!D995, "YYYY-MM-DD"))</f>
        <v>46073</v>
      </c>
      <c r="E995" s="6">
        <f>IF(ISBLANK(Raw_Data!E995), "", DATEVALUE(TEXT(Raw_Data!E995, "YYYY-MM-DD")))</f>
        <v>46079</v>
      </c>
      <c r="F995" s="5">
        <f t="shared" si="1"/>
        <v>6</v>
      </c>
      <c r="G995" s="5">
        <f t="shared" si="2"/>
        <v>5</v>
      </c>
      <c r="H995" s="5" t="str">
        <f t="shared" si="3"/>
        <v>ON TIME</v>
      </c>
      <c r="I995" s="5">
        <f>Raw_Data!F995</f>
        <v>7428</v>
      </c>
      <c r="J995" s="5">
        <f t="shared" si="4"/>
        <v>0</v>
      </c>
    </row>
    <row r="996">
      <c r="A996" s="5" t="str">
        <f>Raw_Data!A996</f>
        <v>TRK100298</v>
      </c>
      <c r="B996" s="5" t="str">
        <f>TRIM(Raw_Data!B996)</f>
        <v>Delhivery</v>
      </c>
      <c r="C996" s="5" t="str">
        <f>TRIM(Raw_Data!C996)</f>
        <v>Metro</v>
      </c>
      <c r="D996" s="6">
        <f>DATEVALUE(TEXT(Raw_Data!D996, "YYYY-MM-DD"))</f>
        <v>46081</v>
      </c>
      <c r="E996" s="6">
        <f>IF(ISBLANK(Raw_Data!E996), "", DATEVALUE(TEXT(Raw_Data!E996, "YYYY-MM-DD")))</f>
        <v>46083</v>
      </c>
      <c r="F996" s="5">
        <f t="shared" si="1"/>
        <v>2</v>
      </c>
      <c r="G996" s="5">
        <f t="shared" si="2"/>
        <v>1</v>
      </c>
      <c r="H996" s="5" t="str">
        <f t="shared" si="3"/>
        <v>ON TIME</v>
      </c>
      <c r="I996" s="5">
        <f>Raw_Data!F996</f>
        <v>10840</v>
      </c>
      <c r="J996" s="5">
        <f t="shared" si="4"/>
        <v>0</v>
      </c>
    </row>
    <row r="997">
      <c r="A997" s="5" t="str">
        <f>Raw_Data!A997</f>
        <v>TRK100033</v>
      </c>
      <c r="B997" s="5" t="str">
        <f>TRIM(Raw_Data!B997)</f>
        <v>EcomExpress</v>
      </c>
      <c r="C997" s="5" t="str">
        <f>TRIM(Raw_Data!C997)</f>
        <v>Tier 2</v>
      </c>
      <c r="D997" s="6">
        <f>DATEVALUE(TEXT(Raw_Data!D997, "YYYY-MM-DD"))</f>
        <v>46040</v>
      </c>
      <c r="E997" s="6">
        <f>IF(ISBLANK(Raw_Data!E997), "", DATEVALUE(TEXT(Raw_Data!E997, "YYYY-MM-DD")))</f>
        <v>46044</v>
      </c>
      <c r="F997" s="5">
        <f t="shared" si="1"/>
        <v>4</v>
      </c>
      <c r="G997" s="5">
        <f t="shared" si="2"/>
        <v>4</v>
      </c>
      <c r="H997" s="5" t="str">
        <f t="shared" si="3"/>
        <v>ON TIME</v>
      </c>
      <c r="I997" s="5">
        <f>Raw_Data!F997</f>
        <v>1882</v>
      </c>
      <c r="J997" s="5">
        <f t="shared" si="4"/>
        <v>0</v>
      </c>
    </row>
    <row r="998">
      <c r="A998" s="5" t="str">
        <f>Raw_Data!A998</f>
        <v>TRK100237</v>
      </c>
      <c r="B998" s="5" t="str">
        <f>TRIM(Raw_Data!B998)</f>
        <v>BlueDart</v>
      </c>
      <c r="C998" s="5" t="str">
        <f>TRIM(Raw_Data!C998)</f>
        <v>Metro</v>
      </c>
      <c r="D998" s="6">
        <f>DATEVALUE(TEXT(Raw_Data!D998, "YYYY-MM-DD"))</f>
        <v>46031</v>
      </c>
      <c r="E998" s="6">
        <f>IF(ISBLANK(Raw_Data!E998), "", DATEVALUE(TEXT(Raw_Data!E998, "YYYY-MM-DD")))</f>
        <v>46035</v>
      </c>
      <c r="F998" s="5">
        <f t="shared" si="1"/>
        <v>2</v>
      </c>
      <c r="G998" s="5">
        <f t="shared" si="2"/>
        <v>3</v>
      </c>
      <c r="H998" s="5" t="str">
        <f t="shared" si="3"/>
        <v>SLA BREACH</v>
      </c>
      <c r="I998" s="5">
        <f>Raw_Data!F998</f>
        <v>1903</v>
      </c>
      <c r="J998" s="5">
        <f t="shared" si="4"/>
        <v>95.15</v>
      </c>
    </row>
    <row r="999">
      <c r="A999" s="5" t="str">
        <f>Raw_Data!A999</f>
        <v>TRK100295</v>
      </c>
      <c r="B999" s="5" t="str">
        <f>TRIM(Raw_Data!B999)</f>
        <v>Delhivery</v>
      </c>
      <c r="C999" s="5" t="str">
        <f>TRIM(Raw_Data!C999)</f>
        <v>Tier 3</v>
      </c>
      <c r="D999" s="6">
        <f>DATEVALUE(TEXT(Raw_Data!D999, "YYYY-MM-DD"))</f>
        <v>46078</v>
      </c>
      <c r="E999" s="6">
        <f>IF(ISBLANK(Raw_Data!E999), "", DATEVALUE(TEXT(Raw_Data!E999, "YYYY-MM-DD")))</f>
        <v>46084</v>
      </c>
      <c r="F999" s="5">
        <f t="shared" si="1"/>
        <v>6</v>
      </c>
      <c r="G999" s="5">
        <f t="shared" si="2"/>
        <v>5</v>
      </c>
      <c r="H999" s="5" t="str">
        <f t="shared" si="3"/>
        <v>ON TIME</v>
      </c>
      <c r="I999" s="5">
        <f>Raw_Data!F999</f>
        <v>9511</v>
      </c>
      <c r="J999" s="5">
        <f t="shared" si="4"/>
        <v>0</v>
      </c>
    </row>
    <row r="1000">
      <c r="A1000" s="5" t="str">
        <f>Raw_Data!A1000</f>
        <v>TRK100723</v>
      </c>
      <c r="B1000" s="5" t="str">
        <f>TRIM(Raw_Data!B1000)</f>
        <v>Delhivery</v>
      </c>
      <c r="C1000" s="5" t="str">
        <f>TRIM(Raw_Data!C1000)</f>
        <v>Tier 2</v>
      </c>
      <c r="D1000" s="6">
        <f>DATEVALUE(TEXT(Raw_Data!D1000, "YYYY-MM-DD"))</f>
        <v>46038</v>
      </c>
      <c r="E1000" s="6">
        <f>IF(ISBLANK(Raw_Data!E1000), "", DATEVALUE(TEXT(Raw_Data!E1000, "YYYY-MM-DD")))</f>
        <v>46045</v>
      </c>
      <c r="F1000" s="5">
        <f t="shared" si="1"/>
        <v>4</v>
      </c>
      <c r="G1000" s="5">
        <f t="shared" si="2"/>
        <v>6</v>
      </c>
      <c r="H1000" s="5" t="str">
        <f t="shared" si="3"/>
        <v>SLA BREACH</v>
      </c>
      <c r="I1000" s="5">
        <f>Raw_Data!F1000</f>
        <v>3792</v>
      </c>
      <c r="J1000" s="5">
        <f t="shared" si="4"/>
        <v>189.6</v>
      </c>
    </row>
    <row r="1001">
      <c r="A1001" s="5" t="str">
        <f>Raw_Data!A1001</f>
        <v>TRK100289</v>
      </c>
      <c r="B1001" s="5" t="str">
        <f>TRIM(Raw_Data!B1001)</f>
        <v>Delhivery</v>
      </c>
      <c r="C1001" s="5" t="str">
        <f>TRIM(Raw_Data!C1001)</f>
        <v>Tier 2</v>
      </c>
      <c r="D1001" s="6">
        <f>DATEVALUE(TEXT(Raw_Data!D1001, "YYYY-MM-DD"))</f>
        <v>46068</v>
      </c>
      <c r="E1001" s="6">
        <f>IF(ISBLANK(Raw_Data!E1001), "", DATEVALUE(TEXT(Raw_Data!E1001, "YYYY-MM-DD")))</f>
        <v>46072</v>
      </c>
      <c r="F1001" s="5">
        <f t="shared" si="1"/>
        <v>4</v>
      </c>
      <c r="G1001" s="5">
        <f t="shared" si="2"/>
        <v>4</v>
      </c>
      <c r="H1001" s="5" t="str">
        <f t="shared" si="3"/>
        <v>ON TIME</v>
      </c>
      <c r="I1001" s="5">
        <f>Raw_Data!F1001</f>
        <v>9511</v>
      </c>
      <c r="J1001" s="5">
        <f t="shared" si="4"/>
        <v>0</v>
      </c>
    </row>
    <row r="1002">
      <c r="D1002" s="6"/>
      <c r="E1002" s="6"/>
    </row>
    <row r="1003">
      <c r="D1003" s="6"/>
      <c r="E1003" s="6"/>
    </row>
    <row r="1004">
      <c r="D1004" s="6"/>
      <c r="E1004" s="6"/>
    </row>
    <row r="1005">
      <c r="D1005" s="6"/>
      <c r="E1005" s="6"/>
    </row>
    <row r="1006">
      <c r="D1006" s="6"/>
      <c r="E1006" s="6"/>
    </row>
    <row r="1007">
      <c r="D1007" s="6"/>
      <c r="E1007" s="6"/>
    </row>
    <row r="1008">
      <c r="D1008" s="6"/>
      <c r="E1008" s="6"/>
    </row>
    <row r="1009">
      <c r="D1009" s="6"/>
      <c r="E1009" s="6"/>
    </row>
    <row r="1010">
      <c r="D1010" s="6"/>
      <c r="E1010" s="6"/>
    </row>
    <row r="1011">
      <c r="D1011" s="6"/>
      <c r="E1011" s="6"/>
    </row>
    <row r="1012">
      <c r="D1012" s="6"/>
      <c r="E1012" s="6"/>
    </row>
    <row r="1013">
      <c r="D1013" s="6"/>
      <c r="E1013" s="6"/>
    </row>
    <row r="1014">
      <c r="D1014" s="6"/>
      <c r="E1014" s="6"/>
    </row>
    <row r="1015">
      <c r="D1015" s="6"/>
      <c r="E1015" s="6"/>
    </row>
    <row r="1016">
      <c r="D1016" s="6"/>
      <c r="E1016" s="6"/>
    </row>
    <row r="1017">
      <c r="D1017" s="6"/>
      <c r="E1017" s="6"/>
    </row>
    <row r="1018">
      <c r="D1018" s="6"/>
      <c r="E1018" s="6"/>
    </row>
    <row r="1019">
      <c r="D1019" s="6"/>
      <c r="E1019" s="6"/>
    </row>
    <row r="1020">
      <c r="D1020" s="6"/>
      <c r="E1020" s="6"/>
    </row>
    <row r="1021">
      <c r="D1021" s="6"/>
      <c r="E1021" s="6"/>
    </row>
    <row r="1022">
      <c r="D1022" s="6"/>
      <c r="E1022" s="6"/>
    </row>
    <row r="1023">
      <c r="D1023" s="6"/>
      <c r="E1023" s="6"/>
    </row>
    <row r="1024">
      <c r="D1024" s="6"/>
      <c r="E1024" s="6"/>
    </row>
    <row r="1025">
      <c r="D1025" s="6"/>
      <c r="E1025" s="6"/>
    </row>
    <row r="1026">
      <c r="D1026" s="6"/>
      <c r="E1026" s="6"/>
    </row>
    <row r="1027">
      <c r="D1027" s="6"/>
      <c r="E1027" s="6"/>
    </row>
    <row r="1028">
      <c r="D1028" s="6"/>
      <c r="E1028" s="6"/>
    </row>
    <row r="1029">
      <c r="D1029" s="6"/>
      <c r="E1029" s="6"/>
    </row>
    <row r="1030">
      <c r="D1030" s="6"/>
      <c r="E1030" s="6"/>
    </row>
    <row r="1031">
      <c r="D1031" s="6"/>
      <c r="E1031" s="6"/>
    </row>
    <row r="1032">
      <c r="D1032" s="6"/>
      <c r="E1032" s="6"/>
    </row>
    <row r="1033">
      <c r="D1033" s="6"/>
      <c r="E1033" s="6"/>
    </row>
    <row r="1034">
      <c r="D1034" s="6"/>
      <c r="E1034" s="6"/>
    </row>
    <row r="1035">
      <c r="D1035" s="6"/>
      <c r="E1035" s="6"/>
    </row>
    <row r="1036">
      <c r="D1036" s="6"/>
      <c r="E1036" s="6"/>
    </row>
    <row r="1037">
      <c r="D1037" s="6"/>
      <c r="E1037" s="6"/>
    </row>
    <row r="1038">
      <c r="D1038" s="6"/>
      <c r="E1038" s="6"/>
    </row>
    <row r="1039">
      <c r="D1039" s="6"/>
      <c r="E1039" s="6"/>
    </row>
    <row r="1040">
      <c r="D1040" s="6"/>
      <c r="E1040" s="6"/>
    </row>
    <row r="1041">
      <c r="D1041" s="6"/>
      <c r="E1041" s="6"/>
    </row>
    <row r="1042">
      <c r="D1042" s="6"/>
      <c r="E1042" s="6"/>
    </row>
    <row r="1043">
      <c r="D1043" s="6"/>
      <c r="E1043" s="6"/>
    </row>
    <row r="1044">
      <c r="D1044" s="6"/>
      <c r="E1044" s="6"/>
    </row>
    <row r="1045">
      <c r="D1045" s="6"/>
      <c r="E1045" s="6"/>
    </row>
    <row r="1046">
      <c r="D1046" s="6"/>
      <c r="E1046" s="6"/>
    </row>
    <row r="1047">
      <c r="D1047" s="6"/>
      <c r="E1047" s="6"/>
    </row>
    <row r="1048">
      <c r="D1048" s="6"/>
      <c r="E1048" s="6"/>
    </row>
    <row r="1049">
      <c r="D1049" s="6"/>
      <c r="E1049" s="6"/>
    </row>
    <row r="1050">
      <c r="D1050" s="6"/>
      <c r="E1050" s="6"/>
    </row>
    <row r="1051">
      <c r="D1051" s="6"/>
      <c r="E1051" s="6"/>
    </row>
    <row r="1052">
      <c r="D1052" s="6"/>
      <c r="E1052" s="6"/>
    </row>
    <row r="1053">
      <c r="D1053" s="6"/>
      <c r="E1053" s="6"/>
    </row>
    <row r="1054">
      <c r="D1054" s="6"/>
      <c r="E1054" s="6"/>
    </row>
    <row r="1055">
      <c r="D1055" s="6"/>
      <c r="E1055" s="6"/>
    </row>
    <row r="1056">
      <c r="D1056" s="6"/>
      <c r="E1056" s="6"/>
    </row>
    <row r="1057">
      <c r="D1057" s="6"/>
      <c r="E1057" s="6"/>
    </row>
    <row r="1058">
      <c r="D1058" s="6"/>
      <c r="E1058" s="6"/>
    </row>
    <row r="1059">
      <c r="D1059" s="6"/>
      <c r="E1059" s="6"/>
    </row>
    <row r="1060">
      <c r="D1060" s="6"/>
      <c r="E1060" s="6"/>
    </row>
    <row r="1061">
      <c r="D1061" s="6"/>
      <c r="E1061" s="6"/>
    </row>
    <row r="1062">
      <c r="D1062" s="6"/>
      <c r="E1062" s="6"/>
    </row>
    <row r="1063">
      <c r="D1063" s="6"/>
      <c r="E1063" s="6"/>
    </row>
    <row r="1064">
      <c r="D1064" s="6"/>
      <c r="E1064" s="6"/>
    </row>
    <row r="1065">
      <c r="D1065" s="6"/>
      <c r="E1065" s="6"/>
    </row>
    <row r="1066">
      <c r="D1066" s="6"/>
      <c r="E1066" s="6"/>
    </row>
    <row r="1067">
      <c r="D1067" s="6"/>
      <c r="E1067" s="6"/>
    </row>
    <row r="1068">
      <c r="D1068" s="6"/>
      <c r="E1068" s="6"/>
    </row>
    <row r="1069">
      <c r="D1069" s="6"/>
      <c r="E1069" s="6"/>
    </row>
    <row r="1070">
      <c r="D1070" s="6"/>
      <c r="E1070" s="6"/>
    </row>
    <row r="1071">
      <c r="D1071" s="6"/>
      <c r="E1071" s="6"/>
    </row>
    <row r="1072">
      <c r="D1072" s="6"/>
      <c r="E1072" s="6"/>
    </row>
    <row r="1073">
      <c r="D1073" s="6"/>
      <c r="E1073" s="6"/>
    </row>
    <row r="1074">
      <c r="D1074" s="6"/>
      <c r="E1074" s="6"/>
    </row>
    <row r="1075">
      <c r="D1075" s="6"/>
      <c r="E1075" s="6"/>
    </row>
    <row r="1076">
      <c r="D1076" s="6"/>
      <c r="E1076" s="6"/>
    </row>
    <row r="1077">
      <c r="D1077" s="6"/>
      <c r="E1077" s="6"/>
    </row>
    <row r="1078">
      <c r="D1078" s="6"/>
      <c r="E1078" s="6"/>
    </row>
    <row r="1079">
      <c r="D1079" s="6"/>
      <c r="E1079" s="6"/>
    </row>
    <row r="1080">
      <c r="D1080" s="6"/>
      <c r="E1080" s="6"/>
    </row>
    <row r="1081">
      <c r="D1081" s="6"/>
      <c r="E1081" s="6"/>
    </row>
    <row r="1082">
      <c r="D1082" s="6"/>
      <c r="E1082" s="6"/>
    </row>
    <row r="1083">
      <c r="D1083" s="6"/>
      <c r="E1083" s="6"/>
    </row>
    <row r="1084">
      <c r="D1084" s="6"/>
      <c r="E1084" s="6"/>
    </row>
    <row r="1085">
      <c r="D1085" s="6"/>
      <c r="E1085" s="6"/>
    </row>
    <row r="1086">
      <c r="D1086" s="6"/>
      <c r="E1086" s="6"/>
    </row>
    <row r="1087">
      <c r="D1087" s="6"/>
      <c r="E1087" s="6"/>
    </row>
    <row r="1088">
      <c r="D1088" s="6"/>
      <c r="E1088" s="6"/>
    </row>
    <row r="1089">
      <c r="D1089" s="6"/>
      <c r="E1089" s="6"/>
    </row>
    <row r="1090">
      <c r="D1090" s="6"/>
      <c r="E1090" s="6"/>
    </row>
    <row r="1091">
      <c r="D1091" s="6"/>
      <c r="E1091" s="6"/>
    </row>
    <row r="1092">
      <c r="D1092" s="6"/>
      <c r="E1092" s="6"/>
    </row>
    <row r="1093">
      <c r="D1093" s="6"/>
      <c r="E1093" s="6"/>
    </row>
    <row r="1094">
      <c r="D1094" s="6"/>
      <c r="E1094" s="6"/>
    </row>
    <row r="1095">
      <c r="D1095" s="6"/>
      <c r="E1095" s="6"/>
    </row>
    <row r="1096">
      <c r="D1096" s="6"/>
      <c r="E1096" s="6"/>
    </row>
    <row r="1097">
      <c r="D1097" s="6"/>
      <c r="E1097" s="6"/>
    </row>
    <row r="1098">
      <c r="D1098" s="6"/>
      <c r="E1098" s="6"/>
    </row>
    <row r="1099">
      <c r="D1099" s="6"/>
      <c r="E1099" s="6"/>
    </row>
    <row r="1100">
      <c r="D1100" s="6"/>
      <c r="E1100" s="6"/>
    </row>
    <row r="1101">
      <c r="D1101" s="6"/>
      <c r="E1101" s="6"/>
    </row>
    <row r="1102">
      <c r="D1102" s="6"/>
      <c r="E1102" s="6"/>
    </row>
    <row r="1103">
      <c r="D1103" s="6"/>
      <c r="E1103" s="6"/>
    </row>
    <row r="1104">
      <c r="D1104" s="6"/>
      <c r="E1104" s="6"/>
    </row>
    <row r="1105">
      <c r="D1105" s="6"/>
      <c r="E1105" s="6"/>
    </row>
    <row r="1106">
      <c r="D1106" s="6"/>
      <c r="E1106" s="6"/>
    </row>
    <row r="1107">
      <c r="D1107" s="6"/>
      <c r="E1107" s="6"/>
    </row>
    <row r="1108">
      <c r="D1108" s="6"/>
      <c r="E1108" s="6"/>
    </row>
    <row r="1109">
      <c r="D1109" s="6"/>
      <c r="E1109" s="6"/>
    </row>
    <row r="1110">
      <c r="D1110" s="6"/>
      <c r="E1110" s="6"/>
    </row>
    <row r="1111">
      <c r="D1111" s="6"/>
      <c r="E1111" s="6"/>
    </row>
    <row r="1112">
      <c r="D1112" s="6"/>
      <c r="E1112" s="6"/>
    </row>
    <row r="1113">
      <c r="D1113" s="6"/>
      <c r="E1113" s="6"/>
    </row>
    <row r="1114">
      <c r="D1114" s="6"/>
      <c r="E1114" s="6"/>
    </row>
    <row r="1115">
      <c r="D1115" s="6"/>
      <c r="E1115" s="6"/>
    </row>
    <row r="1116">
      <c r="D1116" s="6"/>
      <c r="E1116" s="6"/>
    </row>
    <row r="1117">
      <c r="D1117" s="6"/>
      <c r="E1117" s="6"/>
    </row>
    <row r="1118">
      <c r="D1118" s="6"/>
      <c r="E1118" s="6"/>
    </row>
    <row r="1119">
      <c r="D1119" s="6"/>
      <c r="E1119" s="6"/>
    </row>
    <row r="1120">
      <c r="D1120" s="6"/>
      <c r="E1120" s="6"/>
    </row>
    <row r="1121">
      <c r="D1121" s="6"/>
      <c r="E1121" s="6"/>
    </row>
    <row r="1122">
      <c r="D1122" s="6"/>
      <c r="E1122" s="6"/>
    </row>
    <row r="1123">
      <c r="D1123" s="6"/>
      <c r="E1123" s="6"/>
    </row>
    <row r="1124">
      <c r="D1124" s="6"/>
      <c r="E1124" s="6"/>
    </row>
    <row r="1125">
      <c r="D1125" s="6"/>
      <c r="E1125" s="6"/>
    </row>
    <row r="1126">
      <c r="D1126" s="6"/>
      <c r="E1126" s="6"/>
    </row>
    <row r="1127">
      <c r="D1127" s="6"/>
      <c r="E1127" s="6"/>
    </row>
    <row r="1128">
      <c r="D1128" s="6"/>
      <c r="E1128" s="6"/>
    </row>
    <row r="1129">
      <c r="D1129" s="6"/>
      <c r="E1129" s="6"/>
    </row>
    <row r="1130">
      <c r="D1130" s="6"/>
      <c r="E1130" s="6"/>
    </row>
    <row r="1131">
      <c r="D1131" s="6"/>
      <c r="E1131" s="6"/>
    </row>
    <row r="1132">
      <c r="D1132" s="6"/>
      <c r="E1132" s="6"/>
    </row>
    <row r="1133">
      <c r="D1133" s="6"/>
      <c r="E1133" s="6"/>
    </row>
    <row r="1134">
      <c r="D1134" s="6"/>
      <c r="E1134" s="6"/>
    </row>
    <row r="1135">
      <c r="D1135" s="6"/>
      <c r="E1135" s="6"/>
    </row>
    <row r="1136">
      <c r="D1136" s="6"/>
      <c r="E1136" s="6"/>
    </row>
    <row r="1137">
      <c r="D1137" s="6"/>
      <c r="E1137" s="6"/>
    </row>
    <row r="1138">
      <c r="D1138" s="6"/>
      <c r="E1138" s="6"/>
    </row>
    <row r="1139">
      <c r="D1139" s="6"/>
      <c r="E1139" s="6"/>
    </row>
    <row r="1140">
      <c r="D1140" s="6"/>
      <c r="E1140" s="6"/>
    </row>
    <row r="1141">
      <c r="D1141" s="6"/>
      <c r="E1141" s="6"/>
    </row>
    <row r="1142">
      <c r="D1142" s="6"/>
      <c r="E1142" s="6"/>
    </row>
    <row r="1143">
      <c r="D1143" s="6"/>
      <c r="E1143" s="6"/>
    </row>
    <row r="1144">
      <c r="D1144" s="6"/>
      <c r="E1144" s="6"/>
    </row>
    <row r="1145">
      <c r="D1145" s="6"/>
      <c r="E1145" s="6"/>
    </row>
    <row r="1146">
      <c r="D1146" s="6"/>
      <c r="E1146" s="6"/>
    </row>
    <row r="1147">
      <c r="D1147" s="6"/>
      <c r="E1147" s="6"/>
    </row>
    <row r="1148">
      <c r="D1148" s="6"/>
      <c r="E1148" s="6"/>
    </row>
    <row r="1149">
      <c r="D1149" s="6"/>
      <c r="E1149" s="6"/>
    </row>
    <row r="1150">
      <c r="D1150" s="6"/>
      <c r="E1150" s="6"/>
    </row>
    <row r="1151">
      <c r="D1151" s="6"/>
      <c r="E1151" s="6"/>
    </row>
    <row r="1152">
      <c r="D1152" s="6"/>
      <c r="E1152" s="6"/>
    </row>
    <row r="1153">
      <c r="D1153" s="6"/>
      <c r="E1153" s="6"/>
    </row>
    <row r="1154">
      <c r="D1154" s="6"/>
      <c r="E1154" s="6"/>
    </row>
    <row r="1155">
      <c r="D1155" s="6"/>
      <c r="E1155" s="6"/>
    </row>
    <row r="1156">
      <c r="D1156" s="6"/>
      <c r="E1156" s="6"/>
    </row>
    <row r="1157">
      <c r="D1157" s="6"/>
      <c r="E1157" s="6"/>
    </row>
    <row r="1158">
      <c r="D1158" s="6"/>
      <c r="E1158" s="6"/>
    </row>
    <row r="1159">
      <c r="D1159" s="6"/>
      <c r="E1159" s="6"/>
    </row>
    <row r="1160">
      <c r="D1160" s="6"/>
      <c r="E1160" s="6"/>
    </row>
    <row r="1161">
      <c r="D1161" s="6"/>
      <c r="E1161" s="6"/>
    </row>
    <row r="1162">
      <c r="D1162" s="6"/>
      <c r="E1162" s="6"/>
    </row>
    <row r="1163">
      <c r="D1163" s="6"/>
      <c r="E1163" s="6"/>
    </row>
    <row r="1164">
      <c r="D1164" s="6"/>
      <c r="E1164" s="6"/>
    </row>
    <row r="1165">
      <c r="D1165" s="6"/>
      <c r="E1165" s="6"/>
    </row>
    <row r="1166">
      <c r="D1166" s="6"/>
      <c r="E1166" s="6"/>
    </row>
    <row r="1167">
      <c r="D1167" s="6"/>
      <c r="E1167" s="6"/>
    </row>
    <row r="1168">
      <c r="D1168" s="6"/>
      <c r="E1168" s="6"/>
    </row>
    <row r="1169">
      <c r="D1169" s="6"/>
      <c r="E1169" s="6"/>
    </row>
    <row r="1170">
      <c r="D1170" s="6"/>
      <c r="E1170" s="6"/>
    </row>
    <row r="1171">
      <c r="D1171" s="6"/>
      <c r="E1171" s="6"/>
    </row>
    <row r="1172">
      <c r="D1172" s="6"/>
      <c r="E1172" s="6"/>
    </row>
    <row r="1173">
      <c r="D1173" s="6"/>
      <c r="E1173" s="6"/>
    </row>
    <row r="1174">
      <c r="D1174" s="6"/>
      <c r="E1174" s="6"/>
    </row>
    <row r="1175">
      <c r="D1175" s="6"/>
      <c r="E1175" s="6"/>
    </row>
    <row r="1176">
      <c r="D1176" s="6"/>
      <c r="E1176" s="6"/>
    </row>
    <row r="1177">
      <c r="D1177" s="6"/>
      <c r="E1177" s="6"/>
    </row>
    <row r="1178">
      <c r="D1178" s="6"/>
      <c r="E1178" s="6"/>
    </row>
    <row r="1179">
      <c r="D1179" s="6"/>
      <c r="E1179" s="6"/>
    </row>
    <row r="1180">
      <c r="D1180" s="6"/>
      <c r="E1180" s="6"/>
    </row>
    <row r="1181">
      <c r="D1181" s="6"/>
      <c r="E1181" s="6"/>
    </row>
    <row r="1182">
      <c r="D1182" s="6"/>
      <c r="E1182" s="6"/>
    </row>
    <row r="1183">
      <c r="D1183" s="6"/>
      <c r="E1183" s="6"/>
    </row>
    <row r="1184">
      <c r="D1184" s="6"/>
      <c r="E1184" s="6"/>
    </row>
    <row r="1185">
      <c r="D1185" s="6"/>
      <c r="E1185" s="6"/>
    </row>
    <row r="1186">
      <c r="D1186" s="6"/>
      <c r="E1186" s="6"/>
    </row>
    <row r="1187">
      <c r="D1187" s="6"/>
      <c r="E1187" s="6"/>
    </row>
    <row r="1188">
      <c r="D1188" s="6"/>
      <c r="E1188" s="6"/>
    </row>
    <row r="1189">
      <c r="D1189" s="6"/>
      <c r="E1189" s="6"/>
    </row>
    <row r="1190">
      <c r="D1190" s="6"/>
      <c r="E1190" s="6"/>
    </row>
    <row r="1191">
      <c r="D1191" s="6"/>
      <c r="E1191" s="6"/>
    </row>
    <row r="1192">
      <c r="D1192" s="6"/>
      <c r="E1192" s="6"/>
    </row>
    <row r="1193">
      <c r="D1193" s="6"/>
      <c r="E1193" s="6"/>
    </row>
    <row r="1194">
      <c r="D1194" s="6"/>
      <c r="E1194" s="6"/>
    </row>
    <row r="1195">
      <c r="D1195" s="6"/>
      <c r="E1195" s="6"/>
    </row>
    <row r="1196">
      <c r="D1196" s="6"/>
      <c r="E1196" s="6"/>
    </row>
    <row r="1197">
      <c r="D1197" s="6"/>
      <c r="E1197" s="6"/>
    </row>
    <row r="1198">
      <c r="D1198" s="6"/>
      <c r="E1198" s="6"/>
    </row>
    <row r="1199">
      <c r="D1199" s="6"/>
      <c r="E1199" s="6"/>
    </row>
    <row r="1200">
      <c r="D1200" s="6"/>
      <c r="E1200" s="6"/>
    </row>
    <row r="1201">
      <c r="D1201" s="6"/>
      <c r="E1201" s="6"/>
    </row>
    <row r="1202">
      <c r="D1202" s="6"/>
      <c r="E1202" s="6"/>
    </row>
    <row r="1203">
      <c r="D1203" s="6"/>
      <c r="E1203" s="6"/>
    </row>
    <row r="1204">
      <c r="D1204" s="6"/>
      <c r="E1204" s="6"/>
    </row>
    <row r="1205">
      <c r="D1205" s="6"/>
      <c r="E1205" s="6"/>
    </row>
    <row r="1206">
      <c r="D1206" s="6"/>
      <c r="E1206" s="6"/>
    </row>
    <row r="1207">
      <c r="D1207" s="6"/>
      <c r="E1207" s="6"/>
    </row>
    <row r="1208">
      <c r="D1208" s="6"/>
      <c r="E1208" s="6"/>
    </row>
    <row r="1209">
      <c r="D1209" s="6"/>
      <c r="E1209" s="6"/>
    </row>
    <row r="1210">
      <c r="D1210" s="6"/>
      <c r="E1210" s="6"/>
    </row>
    <row r="1211">
      <c r="D1211" s="6"/>
      <c r="E1211" s="6"/>
    </row>
    <row r="1212">
      <c r="D1212" s="6"/>
      <c r="E1212" s="6"/>
    </row>
    <row r="1213">
      <c r="D1213" s="6"/>
      <c r="E1213" s="6"/>
    </row>
    <row r="1214">
      <c r="D1214" s="6"/>
      <c r="E1214" s="6"/>
    </row>
    <row r="1215">
      <c r="D1215" s="6"/>
      <c r="E1215" s="6"/>
    </row>
    <row r="1216">
      <c r="D1216" s="6"/>
      <c r="E1216" s="6"/>
    </row>
    <row r="1217">
      <c r="D1217" s="6"/>
      <c r="E1217" s="6"/>
    </row>
    <row r="1218">
      <c r="D1218" s="6"/>
      <c r="E1218" s="6"/>
    </row>
    <row r="1219">
      <c r="D1219" s="6"/>
      <c r="E1219" s="6"/>
    </row>
    <row r="1220">
      <c r="D1220" s="6"/>
      <c r="E1220" s="6"/>
    </row>
    <row r="1221">
      <c r="D1221" s="6"/>
      <c r="E1221" s="6"/>
    </row>
    <row r="1222">
      <c r="D1222" s="6"/>
      <c r="E1222" s="6"/>
    </row>
    <row r="1223">
      <c r="D1223" s="6"/>
      <c r="E1223" s="6"/>
    </row>
    <row r="1224">
      <c r="D1224" s="6"/>
      <c r="E1224" s="6"/>
    </row>
    <row r="1225">
      <c r="D1225" s="6"/>
      <c r="E1225" s="6"/>
    </row>
    <row r="1226">
      <c r="D1226" s="6"/>
      <c r="E1226" s="6"/>
    </row>
    <row r="1227">
      <c r="D1227" s="6"/>
      <c r="E1227" s="6"/>
    </row>
    <row r="1228">
      <c r="D1228" s="6"/>
      <c r="E1228" s="6"/>
    </row>
    <row r="1229">
      <c r="D1229" s="6"/>
      <c r="E1229" s="6"/>
    </row>
    <row r="1230">
      <c r="D1230" s="6"/>
      <c r="E1230" s="6"/>
    </row>
    <row r="1231">
      <c r="D1231" s="6"/>
      <c r="E1231" s="6"/>
    </row>
    <row r="1232">
      <c r="D1232" s="6"/>
      <c r="E1232" s="6"/>
    </row>
    <row r="1233">
      <c r="D1233" s="6"/>
      <c r="E1233" s="6"/>
    </row>
    <row r="1234">
      <c r="D1234" s="6"/>
      <c r="E1234" s="6"/>
    </row>
    <row r="1235">
      <c r="D1235" s="6"/>
      <c r="E1235" s="6"/>
    </row>
    <row r="1236">
      <c r="D1236" s="6"/>
      <c r="E1236" s="6"/>
    </row>
    <row r="1237">
      <c r="D1237" s="6"/>
      <c r="E1237" s="6"/>
    </row>
    <row r="1238">
      <c r="D1238" s="6"/>
      <c r="E1238" s="6"/>
    </row>
    <row r="1239">
      <c r="D1239" s="6"/>
      <c r="E1239" s="6"/>
    </row>
    <row r="1240">
      <c r="D1240" s="6"/>
      <c r="E1240" s="6"/>
    </row>
    <row r="1241">
      <c r="D1241" s="6"/>
      <c r="E1241" s="6"/>
    </row>
    <row r="1242">
      <c r="D1242" s="6"/>
      <c r="E1242" s="6"/>
    </row>
    <row r="1243">
      <c r="D1243" s="6"/>
      <c r="E1243" s="6"/>
    </row>
    <row r="1244">
      <c r="D1244" s="6"/>
      <c r="E1244" s="6"/>
    </row>
    <row r="1245">
      <c r="D1245" s="6"/>
      <c r="E1245" s="6"/>
    </row>
    <row r="1246">
      <c r="D1246" s="6"/>
      <c r="E1246" s="6"/>
    </row>
    <row r="1247">
      <c r="D1247" s="6"/>
      <c r="E1247" s="6"/>
    </row>
    <row r="1248">
      <c r="D1248" s="6"/>
      <c r="E1248" s="6"/>
    </row>
    <row r="1249">
      <c r="D1249" s="6"/>
      <c r="E1249" s="6"/>
    </row>
    <row r="1250">
      <c r="D1250" s="6"/>
      <c r="E1250" s="6"/>
    </row>
    <row r="1251">
      <c r="D1251" s="6"/>
      <c r="E1251" s="6"/>
    </row>
    <row r="1252">
      <c r="D1252" s="6"/>
      <c r="E1252" s="6"/>
    </row>
    <row r="1253">
      <c r="D1253" s="6"/>
      <c r="E1253" s="6"/>
    </row>
    <row r="1254">
      <c r="D1254" s="6"/>
      <c r="E1254" s="6"/>
    </row>
    <row r="1255">
      <c r="D1255" s="6"/>
      <c r="E1255" s="6"/>
    </row>
    <row r="1256">
      <c r="D1256" s="6"/>
      <c r="E1256" s="6"/>
    </row>
    <row r="1257">
      <c r="D1257" s="6"/>
      <c r="E1257" s="6"/>
    </row>
    <row r="1258">
      <c r="D1258" s="6"/>
      <c r="E1258" s="6"/>
    </row>
    <row r="1259">
      <c r="D1259" s="6"/>
      <c r="E1259" s="6"/>
    </row>
    <row r="1260">
      <c r="D1260" s="6"/>
      <c r="E1260" s="6"/>
    </row>
    <row r="1261">
      <c r="D1261" s="6"/>
      <c r="E1261" s="6"/>
    </row>
    <row r="1262">
      <c r="D1262" s="6"/>
      <c r="E1262" s="6"/>
    </row>
    <row r="1263">
      <c r="D1263" s="6"/>
      <c r="E1263" s="6"/>
    </row>
    <row r="1264">
      <c r="D1264" s="6"/>
      <c r="E1264" s="6"/>
    </row>
    <row r="1265">
      <c r="D1265" s="6"/>
      <c r="E1265" s="6"/>
    </row>
    <row r="1266">
      <c r="D1266" s="6"/>
      <c r="E1266" s="6"/>
    </row>
    <row r="1267">
      <c r="D1267" s="6"/>
      <c r="E1267" s="6"/>
    </row>
    <row r="1268">
      <c r="D1268" s="6"/>
      <c r="E1268" s="6"/>
    </row>
    <row r="1269">
      <c r="D1269" s="6"/>
      <c r="E1269" s="6"/>
    </row>
    <row r="1270">
      <c r="D1270" s="6"/>
      <c r="E1270" s="6"/>
    </row>
    <row r="1271">
      <c r="D1271" s="6"/>
      <c r="E1271" s="6"/>
    </row>
    <row r="1272">
      <c r="D1272" s="6"/>
      <c r="E1272" s="6"/>
    </row>
    <row r="1273">
      <c r="D1273" s="6"/>
      <c r="E1273" s="6"/>
    </row>
    <row r="1274">
      <c r="D1274" s="6"/>
      <c r="E1274" s="6"/>
    </row>
    <row r="1275">
      <c r="D1275" s="6"/>
      <c r="E1275" s="6"/>
    </row>
    <row r="1276">
      <c r="D1276" s="6"/>
      <c r="E1276" s="6"/>
    </row>
    <row r="1277">
      <c r="D1277" s="6"/>
      <c r="E1277" s="6"/>
    </row>
    <row r="1278">
      <c r="D1278" s="6"/>
      <c r="E1278" s="6"/>
    </row>
    <row r="1279">
      <c r="D1279" s="6"/>
      <c r="E1279" s="6"/>
    </row>
    <row r="1280">
      <c r="D1280" s="6"/>
      <c r="E1280" s="6"/>
    </row>
    <row r="1281">
      <c r="D1281" s="6"/>
      <c r="E1281" s="6"/>
    </row>
    <row r="1282">
      <c r="D1282" s="6"/>
      <c r="E1282" s="6"/>
    </row>
    <row r="1283">
      <c r="D1283" s="6"/>
      <c r="E1283" s="6"/>
    </row>
    <row r="1284">
      <c r="D1284" s="6"/>
      <c r="E1284" s="6"/>
    </row>
    <row r="1285">
      <c r="D1285" s="6"/>
      <c r="E1285" s="6"/>
    </row>
    <row r="1286">
      <c r="D1286" s="6"/>
      <c r="E1286" s="6"/>
    </row>
    <row r="1287">
      <c r="D1287" s="6"/>
      <c r="E1287" s="6"/>
    </row>
    <row r="1288">
      <c r="D1288" s="6"/>
      <c r="E1288" s="6"/>
    </row>
    <row r="1289">
      <c r="D1289" s="6"/>
      <c r="E1289" s="6"/>
    </row>
    <row r="1290">
      <c r="D1290" s="6"/>
      <c r="E1290" s="6"/>
    </row>
    <row r="1291">
      <c r="D1291" s="6"/>
      <c r="E1291" s="6"/>
    </row>
    <row r="1292">
      <c r="D1292" s="6"/>
      <c r="E1292" s="6"/>
    </row>
    <row r="1293">
      <c r="D1293" s="6"/>
      <c r="E1293" s="6"/>
    </row>
    <row r="1294">
      <c r="D1294" s="6"/>
      <c r="E1294" s="6"/>
    </row>
    <row r="1295">
      <c r="D1295" s="6"/>
      <c r="E1295" s="6"/>
    </row>
    <row r="1296">
      <c r="D1296" s="6"/>
      <c r="E1296" s="6"/>
    </row>
    <row r="1297">
      <c r="D1297" s="6"/>
      <c r="E1297" s="6"/>
    </row>
    <row r="1298">
      <c r="D1298" s="6"/>
      <c r="E1298" s="6"/>
    </row>
    <row r="1299">
      <c r="D1299" s="6"/>
      <c r="E1299" s="6"/>
    </row>
    <row r="1300">
      <c r="D1300" s="6"/>
      <c r="E1300" s="6"/>
    </row>
    <row r="1301">
      <c r="D1301" s="6"/>
      <c r="E1301" s="6"/>
    </row>
    <row r="1302">
      <c r="D1302" s="6"/>
      <c r="E1302" s="6"/>
    </row>
    <row r="1303">
      <c r="D1303" s="6"/>
      <c r="E1303" s="6"/>
    </row>
    <row r="1304">
      <c r="D1304" s="6"/>
      <c r="E1304" s="6"/>
    </row>
    <row r="1305">
      <c r="D1305" s="6"/>
      <c r="E1305" s="6"/>
    </row>
    <row r="1306">
      <c r="D1306" s="6"/>
      <c r="E1306" s="6"/>
    </row>
    <row r="1307">
      <c r="D1307" s="6"/>
      <c r="E1307" s="6"/>
    </row>
    <row r="1308">
      <c r="D1308" s="6"/>
      <c r="E1308" s="6"/>
    </row>
    <row r="1309">
      <c r="D1309" s="6"/>
      <c r="E1309" s="6"/>
    </row>
    <row r="1310">
      <c r="D1310" s="6"/>
      <c r="E1310" s="6"/>
    </row>
    <row r="1311">
      <c r="D1311" s="6"/>
      <c r="E1311" s="6"/>
    </row>
    <row r="1312">
      <c r="D1312" s="6"/>
      <c r="E1312" s="6"/>
    </row>
    <row r="1313">
      <c r="D1313" s="6"/>
      <c r="E1313" s="6"/>
    </row>
    <row r="1314">
      <c r="D1314" s="6"/>
      <c r="E1314" s="6"/>
    </row>
    <row r="1315">
      <c r="D1315" s="6"/>
      <c r="E1315" s="6"/>
    </row>
    <row r="1316">
      <c r="D1316" s="6"/>
      <c r="E1316" s="6"/>
    </row>
    <row r="1317">
      <c r="D1317" s="6"/>
      <c r="E1317" s="6"/>
    </row>
    <row r="1318">
      <c r="D1318" s="6"/>
      <c r="E1318" s="6"/>
    </row>
    <row r="1319">
      <c r="D1319" s="6"/>
      <c r="E1319" s="6"/>
    </row>
    <row r="1320">
      <c r="D1320" s="6"/>
      <c r="E1320" s="6"/>
    </row>
    <row r="1321">
      <c r="D1321" s="6"/>
      <c r="E1321" s="6"/>
    </row>
    <row r="1322">
      <c r="D1322" s="6"/>
      <c r="E1322" s="6"/>
    </row>
    <row r="1323">
      <c r="D1323" s="6"/>
      <c r="E1323" s="6"/>
    </row>
    <row r="1324">
      <c r="D1324" s="6"/>
      <c r="E1324" s="6"/>
    </row>
    <row r="1325">
      <c r="D1325" s="6"/>
      <c r="E1325" s="6"/>
    </row>
    <row r="1326">
      <c r="D1326" s="6"/>
      <c r="E1326" s="6"/>
    </row>
    <row r="1327">
      <c r="D1327" s="6"/>
      <c r="E1327" s="6"/>
    </row>
    <row r="1328">
      <c r="D1328" s="6"/>
      <c r="E1328" s="6"/>
    </row>
    <row r="1329">
      <c r="D1329" s="6"/>
      <c r="E1329" s="6"/>
    </row>
    <row r="1330">
      <c r="D1330" s="6"/>
      <c r="E1330" s="6"/>
    </row>
    <row r="1331">
      <c r="D1331" s="6"/>
      <c r="E1331" s="6"/>
    </row>
    <row r="1332">
      <c r="D1332" s="6"/>
      <c r="E1332" s="6"/>
    </row>
    <row r="1333">
      <c r="D1333" s="6"/>
      <c r="E1333" s="6"/>
    </row>
    <row r="1334">
      <c r="D1334" s="6"/>
      <c r="E1334" s="6"/>
    </row>
    <row r="1335">
      <c r="D1335" s="6"/>
      <c r="E1335" s="6"/>
    </row>
    <row r="1336">
      <c r="D1336" s="6"/>
      <c r="E1336" s="6"/>
    </row>
    <row r="1337">
      <c r="D1337" s="6"/>
      <c r="E1337" s="6"/>
    </row>
    <row r="1338">
      <c r="D1338" s="6"/>
      <c r="E1338" s="6"/>
    </row>
    <row r="1339">
      <c r="D1339" s="6"/>
      <c r="E1339" s="6"/>
    </row>
    <row r="1340">
      <c r="D1340" s="6"/>
      <c r="E1340" s="6"/>
    </row>
    <row r="1341">
      <c r="D1341" s="6"/>
      <c r="E1341" s="6"/>
    </row>
    <row r="1342">
      <c r="D1342" s="6"/>
      <c r="E1342" s="6"/>
    </row>
    <row r="1343">
      <c r="D1343" s="6"/>
      <c r="E1343" s="6"/>
    </row>
    <row r="1344">
      <c r="D1344" s="6"/>
      <c r="E1344" s="6"/>
    </row>
    <row r="1345">
      <c r="D1345" s="6"/>
      <c r="E1345" s="6"/>
    </row>
    <row r="1346">
      <c r="D1346" s="6"/>
      <c r="E1346" s="6"/>
    </row>
    <row r="1347">
      <c r="D1347" s="6"/>
      <c r="E1347" s="6"/>
    </row>
    <row r="1348">
      <c r="D1348" s="6"/>
      <c r="E1348" s="6"/>
    </row>
    <row r="1349">
      <c r="D1349" s="6"/>
      <c r="E1349" s="6"/>
    </row>
    <row r="1350">
      <c r="D1350" s="6"/>
      <c r="E1350" s="6"/>
    </row>
    <row r="1351">
      <c r="D1351" s="6"/>
      <c r="E1351" s="6"/>
    </row>
    <row r="1352">
      <c r="D1352" s="6"/>
      <c r="E1352" s="6"/>
    </row>
    <row r="1353">
      <c r="D1353" s="6"/>
      <c r="E1353" s="6"/>
    </row>
    <row r="1354">
      <c r="D1354" s="6"/>
      <c r="E1354" s="6"/>
    </row>
    <row r="1355">
      <c r="D1355" s="6"/>
      <c r="E1355" s="6"/>
    </row>
    <row r="1356">
      <c r="D1356" s="6"/>
      <c r="E1356" s="6"/>
    </row>
    <row r="1357">
      <c r="D1357" s="6"/>
      <c r="E1357" s="6"/>
    </row>
    <row r="1358">
      <c r="D1358" s="6"/>
      <c r="E1358" s="6"/>
    </row>
    <row r="1359">
      <c r="D1359" s="6"/>
      <c r="E1359" s="6"/>
    </row>
    <row r="1360">
      <c r="D1360" s="6"/>
      <c r="E1360" s="6"/>
    </row>
    <row r="1361">
      <c r="D1361" s="6"/>
      <c r="E1361" s="6"/>
    </row>
    <row r="1362">
      <c r="D1362" s="6"/>
      <c r="E1362" s="6"/>
    </row>
    <row r="1363">
      <c r="D1363" s="6"/>
      <c r="E1363" s="6"/>
    </row>
    <row r="1364">
      <c r="D1364" s="6"/>
      <c r="E1364" s="6"/>
    </row>
    <row r="1365">
      <c r="D1365" s="6"/>
      <c r="E1365" s="6"/>
    </row>
    <row r="1366">
      <c r="D1366" s="6"/>
      <c r="E1366" s="6"/>
    </row>
    <row r="1367">
      <c r="D1367" s="6"/>
      <c r="E1367" s="6"/>
    </row>
    <row r="1368">
      <c r="D1368" s="6"/>
      <c r="E1368" s="6"/>
    </row>
    <row r="1369">
      <c r="D1369" s="6"/>
      <c r="E1369" s="6"/>
    </row>
    <row r="1370">
      <c r="D1370" s="6"/>
      <c r="E1370" s="6"/>
    </row>
    <row r="1371">
      <c r="D1371" s="6"/>
      <c r="E1371" s="6"/>
    </row>
    <row r="1372">
      <c r="D1372" s="6"/>
      <c r="E1372" s="6"/>
    </row>
    <row r="1373">
      <c r="D1373" s="6"/>
      <c r="E1373" s="6"/>
    </row>
    <row r="1374">
      <c r="D1374" s="6"/>
      <c r="E1374" s="6"/>
    </row>
    <row r="1375">
      <c r="D1375" s="6"/>
      <c r="E1375" s="6"/>
    </row>
    <row r="1376">
      <c r="D1376" s="6"/>
      <c r="E1376" s="6"/>
    </row>
    <row r="1377">
      <c r="D1377" s="6"/>
      <c r="E1377" s="6"/>
    </row>
    <row r="1378">
      <c r="D1378" s="6"/>
      <c r="E1378" s="6"/>
    </row>
    <row r="1379">
      <c r="D1379" s="6"/>
      <c r="E1379" s="6"/>
    </row>
    <row r="1380">
      <c r="D1380" s="6"/>
      <c r="E1380" s="6"/>
    </row>
    <row r="1381">
      <c r="D1381" s="6"/>
      <c r="E1381" s="6"/>
    </row>
    <row r="1382">
      <c r="D1382" s="6"/>
      <c r="E1382" s="6"/>
    </row>
    <row r="1383">
      <c r="D1383" s="6"/>
      <c r="E1383" s="6"/>
    </row>
    <row r="1384">
      <c r="D1384" s="6"/>
      <c r="E1384" s="6"/>
    </row>
    <row r="1385">
      <c r="D1385" s="6"/>
      <c r="E1385" s="6"/>
    </row>
    <row r="1386">
      <c r="D1386" s="6"/>
      <c r="E1386" s="6"/>
    </row>
    <row r="1387">
      <c r="D1387" s="6"/>
      <c r="E1387" s="6"/>
    </row>
    <row r="1388">
      <c r="D1388" s="6"/>
      <c r="E1388" s="6"/>
    </row>
    <row r="1389">
      <c r="D1389" s="6"/>
      <c r="E1389" s="6"/>
    </row>
    <row r="1390">
      <c r="D1390" s="6"/>
      <c r="E1390" s="6"/>
    </row>
    <row r="1391">
      <c r="D1391" s="6"/>
      <c r="E1391" s="6"/>
    </row>
    <row r="1392">
      <c r="D1392" s="6"/>
      <c r="E1392" s="6"/>
    </row>
    <row r="1393">
      <c r="D1393" s="6"/>
      <c r="E1393" s="6"/>
    </row>
    <row r="1394">
      <c r="D1394" s="6"/>
      <c r="E1394" s="6"/>
    </row>
    <row r="1395">
      <c r="D1395" s="6"/>
      <c r="E1395" s="6"/>
    </row>
    <row r="1396">
      <c r="D1396" s="6"/>
      <c r="E1396" s="6"/>
    </row>
    <row r="1397">
      <c r="D1397" s="6"/>
      <c r="E1397" s="6"/>
    </row>
    <row r="1398">
      <c r="D1398" s="6"/>
      <c r="E1398" s="6"/>
    </row>
    <row r="1399">
      <c r="D1399" s="6"/>
      <c r="E1399" s="6"/>
    </row>
    <row r="1400">
      <c r="D1400" s="6"/>
      <c r="E1400" s="6"/>
    </row>
    <row r="1401">
      <c r="D1401" s="6"/>
      <c r="E1401" s="6"/>
    </row>
    <row r="1402">
      <c r="D1402" s="6"/>
      <c r="E1402" s="6"/>
    </row>
    <row r="1403">
      <c r="D1403" s="6"/>
      <c r="E1403" s="6"/>
    </row>
    <row r="1404">
      <c r="D1404" s="6"/>
      <c r="E1404" s="6"/>
    </row>
    <row r="1405">
      <c r="D1405" s="6"/>
      <c r="E1405" s="6"/>
    </row>
    <row r="1406">
      <c r="D1406" s="6"/>
      <c r="E1406" s="6"/>
    </row>
    <row r="1407">
      <c r="D1407" s="6"/>
      <c r="E1407" s="6"/>
    </row>
    <row r="1408">
      <c r="D1408" s="6"/>
      <c r="E1408" s="6"/>
    </row>
    <row r="1409">
      <c r="D1409" s="6"/>
      <c r="E1409" s="6"/>
    </row>
    <row r="1410">
      <c r="D1410" s="6"/>
      <c r="E1410" s="6"/>
    </row>
    <row r="1411">
      <c r="D1411" s="6"/>
      <c r="E1411" s="6"/>
    </row>
    <row r="1412">
      <c r="D1412" s="6"/>
      <c r="E1412" s="6"/>
    </row>
    <row r="1413">
      <c r="D1413" s="6"/>
      <c r="E1413" s="6"/>
    </row>
    <row r="1414">
      <c r="D1414" s="6"/>
      <c r="E1414" s="6"/>
    </row>
    <row r="1415">
      <c r="D1415" s="6"/>
      <c r="E1415" s="6"/>
    </row>
    <row r="1416">
      <c r="D1416" s="6"/>
      <c r="E1416" s="6"/>
    </row>
    <row r="1417">
      <c r="D1417" s="6"/>
      <c r="E1417" s="6"/>
    </row>
    <row r="1418">
      <c r="D1418" s="6"/>
      <c r="E1418" s="6"/>
    </row>
    <row r="1419">
      <c r="D1419" s="6"/>
      <c r="E1419" s="6"/>
    </row>
    <row r="1420">
      <c r="D1420" s="6"/>
      <c r="E1420" s="6"/>
    </row>
    <row r="1421">
      <c r="D1421" s="6"/>
      <c r="E1421" s="6"/>
    </row>
    <row r="1422">
      <c r="D1422" s="6"/>
      <c r="E1422" s="6"/>
    </row>
    <row r="1423">
      <c r="D1423" s="6"/>
      <c r="E1423" s="6"/>
    </row>
    <row r="1424">
      <c r="D1424" s="6"/>
      <c r="E1424" s="6"/>
    </row>
    <row r="1425">
      <c r="D1425" s="6"/>
      <c r="E1425" s="6"/>
    </row>
    <row r="1426">
      <c r="D1426" s="6"/>
      <c r="E1426" s="6"/>
    </row>
    <row r="1427">
      <c r="D1427" s="6"/>
      <c r="E1427" s="6"/>
    </row>
    <row r="1428">
      <c r="D1428" s="6"/>
      <c r="E1428" s="6"/>
    </row>
    <row r="1429">
      <c r="D1429" s="6"/>
      <c r="E1429" s="6"/>
    </row>
    <row r="1430">
      <c r="D1430" s="6"/>
      <c r="E1430" s="6"/>
    </row>
    <row r="1431">
      <c r="D1431" s="6"/>
      <c r="E1431" s="6"/>
    </row>
    <row r="1432">
      <c r="D1432" s="6"/>
      <c r="E1432" s="6"/>
    </row>
    <row r="1433">
      <c r="D1433" s="6"/>
      <c r="E1433" s="6"/>
    </row>
    <row r="1434">
      <c r="D1434" s="6"/>
      <c r="E1434" s="6"/>
    </row>
    <row r="1435">
      <c r="D1435" s="6"/>
      <c r="E1435" s="6"/>
    </row>
    <row r="1436">
      <c r="D1436" s="6"/>
      <c r="E1436" s="6"/>
    </row>
    <row r="1437">
      <c r="D1437" s="6"/>
      <c r="E1437" s="6"/>
    </row>
    <row r="1438">
      <c r="D1438" s="6"/>
      <c r="E1438" s="6"/>
    </row>
    <row r="1439">
      <c r="D1439" s="6"/>
      <c r="E1439" s="6"/>
    </row>
    <row r="1440">
      <c r="D1440" s="6"/>
      <c r="E1440" s="6"/>
    </row>
    <row r="1441">
      <c r="D1441" s="6"/>
      <c r="E1441" s="6"/>
    </row>
    <row r="1442">
      <c r="D1442" s="6"/>
      <c r="E1442" s="6"/>
    </row>
    <row r="1443">
      <c r="D1443" s="6"/>
      <c r="E1443" s="6"/>
    </row>
    <row r="1444">
      <c r="D1444" s="6"/>
      <c r="E1444" s="6"/>
    </row>
    <row r="1445">
      <c r="D1445" s="6"/>
      <c r="E1445" s="6"/>
    </row>
    <row r="1446">
      <c r="D1446" s="6"/>
      <c r="E1446" s="6"/>
    </row>
    <row r="1447">
      <c r="D1447" s="6"/>
      <c r="E1447" s="6"/>
    </row>
    <row r="1448">
      <c r="D1448" s="6"/>
      <c r="E1448" s="6"/>
    </row>
    <row r="1449">
      <c r="D1449" s="6"/>
      <c r="E1449" s="6"/>
    </row>
    <row r="1450">
      <c r="D1450" s="6"/>
      <c r="E1450" s="6"/>
    </row>
    <row r="1451">
      <c r="D1451" s="6"/>
      <c r="E1451" s="6"/>
    </row>
    <row r="1452">
      <c r="D1452" s="6"/>
      <c r="E1452" s="6"/>
    </row>
    <row r="1453">
      <c r="D1453" s="6"/>
      <c r="E1453" s="6"/>
    </row>
    <row r="1454">
      <c r="D1454" s="6"/>
      <c r="E1454" s="6"/>
    </row>
    <row r="1455">
      <c r="D1455" s="6"/>
      <c r="E1455" s="6"/>
    </row>
    <row r="1456">
      <c r="D1456" s="6"/>
      <c r="E1456" s="6"/>
    </row>
    <row r="1457">
      <c r="D1457" s="6"/>
      <c r="E1457" s="6"/>
    </row>
    <row r="1458">
      <c r="D1458" s="6"/>
      <c r="E1458" s="6"/>
    </row>
    <row r="1459">
      <c r="D1459" s="6"/>
      <c r="E1459" s="6"/>
    </row>
    <row r="1460">
      <c r="D1460" s="6"/>
      <c r="E1460" s="6"/>
    </row>
    <row r="1461">
      <c r="D1461" s="6"/>
      <c r="E1461" s="6"/>
    </row>
    <row r="1462">
      <c r="D1462" s="6"/>
      <c r="E1462" s="6"/>
    </row>
    <row r="1463">
      <c r="D1463" s="6"/>
      <c r="E1463" s="6"/>
    </row>
    <row r="1464">
      <c r="D1464" s="6"/>
      <c r="E1464" s="6"/>
    </row>
    <row r="1465">
      <c r="D1465" s="6"/>
      <c r="E1465" s="6"/>
    </row>
    <row r="1466">
      <c r="D1466" s="6"/>
      <c r="E1466" s="6"/>
    </row>
    <row r="1467">
      <c r="D1467" s="6"/>
      <c r="E1467" s="6"/>
    </row>
    <row r="1468">
      <c r="D1468" s="6"/>
      <c r="E1468" s="6"/>
    </row>
    <row r="1469">
      <c r="D1469" s="6"/>
      <c r="E1469" s="6"/>
    </row>
    <row r="1470">
      <c r="D1470" s="6"/>
      <c r="E1470" s="6"/>
    </row>
    <row r="1471">
      <c r="D1471" s="6"/>
      <c r="E1471" s="6"/>
    </row>
    <row r="1472">
      <c r="D1472" s="6"/>
      <c r="E1472" s="6"/>
    </row>
    <row r="1473">
      <c r="D1473" s="6"/>
      <c r="E1473" s="6"/>
    </row>
    <row r="1474">
      <c r="D1474" s="6"/>
      <c r="E1474" s="6"/>
    </row>
    <row r="1475">
      <c r="D1475" s="6"/>
      <c r="E1475" s="6"/>
    </row>
    <row r="1476">
      <c r="D1476" s="6"/>
      <c r="E1476" s="6"/>
    </row>
    <row r="1477">
      <c r="D1477" s="6"/>
      <c r="E1477" s="6"/>
    </row>
    <row r="1478">
      <c r="D1478" s="6"/>
      <c r="E1478" s="6"/>
    </row>
    <row r="1479">
      <c r="D1479" s="6"/>
      <c r="E1479" s="6"/>
    </row>
    <row r="1480">
      <c r="D1480" s="6"/>
      <c r="E1480" s="6"/>
    </row>
    <row r="1481">
      <c r="D1481" s="6"/>
      <c r="E1481" s="6"/>
    </row>
    <row r="1482">
      <c r="D1482" s="6"/>
      <c r="E1482" s="6"/>
    </row>
    <row r="1483">
      <c r="D1483" s="6"/>
      <c r="E1483" s="6"/>
    </row>
    <row r="1484">
      <c r="D1484" s="6"/>
      <c r="E1484" s="6"/>
    </row>
    <row r="1485">
      <c r="D1485" s="6"/>
      <c r="E1485" s="6"/>
    </row>
    <row r="1486">
      <c r="D1486" s="6"/>
      <c r="E1486" s="6"/>
    </row>
    <row r="1487">
      <c r="D1487" s="6"/>
      <c r="E1487" s="6"/>
    </row>
    <row r="1488">
      <c r="D1488" s="6"/>
      <c r="E1488" s="6"/>
    </row>
    <row r="1489">
      <c r="D1489" s="6"/>
      <c r="E1489" s="6"/>
    </row>
    <row r="1490">
      <c r="D1490" s="6"/>
      <c r="E1490" s="6"/>
    </row>
    <row r="1491">
      <c r="D1491" s="6"/>
      <c r="E1491" s="6"/>
    </row>
    <row r="1492">
      <c r="D1492" s="6"/>
      <c r="E1492" s="6"/>
    </row>
    <row r="1493">
      <c r="D1493" s="6"/>
      <c r="E1493" s="6"/>
    </row>
    <row r="1494">
      <c r="D1494" s="6"/>
      <c r="E1494" s="6"/>
    </row>
    <row r="1495">
      <c r="D1495" s="6"/>
      <c r="E1495" s="6"/>
    </row>
    <row r="1496">
      <c r="D1496" s="6"/>
      <c r="E1496" s="6"/>
    </row>
    <row r="1497">
      <c r="D1497" s="6"/>
      <c r="E1497" s="6"/>
    </row>
    <row r="1498">
      <c r="D1498" s="6"/>
      <c r="E1498" s="6"/>
    </row>
    <row r="1499">
      <c r="D1499" s="6"/>
      <c r="E1499" s="6"/>
    </row>
    <row r="1500">
      <c r="D1500" s="6"/>
      <c r="E1500" s="6"/>
    </row>
    <row r="1501">
      <c r="D1501" s="6"/>
      <c r="E1501" s="6"/>
    </row>
    <row r="1502">
      <c r="D1502" s="6"/>
      <c r="E1502" s="6"/>
    </row>
    <row r="1503">
      <c r="D1503" s="6"/>
      <c r="E1503" s="6"/>
    </row>
    <row r="1504">
      <c r="D1504" s="6"/>
      <c r="E1504" s="6"/>
    </row>
    <row r="1505">
      <c r="D1505" s="6"/>
      <c r="E1505" s="6"/>
    </row>
    <row r="1506">
      <c r="D1506" s="6"/>
      <c r="E1506" s="6"/>
    </row>
    <row r="1507">
      <c r="D1507" s="6"/>
      <c r="E1507" s="6"/>
    </row>
    <row r="1508">
      <c r="D1508" s="6"/>
      <c r="E1508" s="6"/>
    </row>
    <row r="1509">
      <c r="D1509" s="6"/>
      <c r="E1509" s="6"/>
    </row>
    <row r="1510">
      <c r="D1510" s="6"/>
      <c r="E1510" s="6"/>
    </row>
    <row r="1511">
      <c r="D1511" s="6"/>
      <c r="E1511" s="6"/>
    </row>
    <row r="1512">
      <c r="D1512" s="6"/>
      <c r="E1512" s="6"/>
    </row>
    <row r="1513">
      <c r="D1513" s="6"/>
      <c r="E1513" s="6"/>
    </row>
    <row r="1514">
      <c r="D1514" s="6"/>
      <c r="E1514" s="6"/>
    </row>
    <row r="1515">
      <c r="D1515" s="6"/>
      <c r="E1515" s="6"/>
    </row>
    <row r="1516">
      <c r="D1516" s="6"/>
      <c r="E1516" s="6"/>
    </row>
    <row r="1517">
      <c r="D1517" s="6"/>
      <c r="E1517" s="6"/>
    </row>
    <row r="1518">
      <c r="D1518" s="6"/>
      <c r="E1518" s="6"/>
    </row>
    <row r="1519">
      <c r="D1519" s="6"/>
      <c r="E1519" s="6"/>
    </row>
    <row r="1520">
      <c r="D1520" s="6"/>
      <c r="E1520" s="6"/>
    </row>
    <row r="1521">
      <c r="D1521" s="6"/>
      <c r="E1521" s="6"/>
    </row>
    <row r="1522">
      <c r="D1522" s="6"/>
      <c r="E1522" s="6"/>
    </row>
    <row r="1523">
      <c r="D1523" s="6"/>
      <c r="E1523" s="6"/>
    </row>
    <row r="1524">
      <c r="D1524" s="6"/>
      <c r="E1524" s="6"/>
    </row>
    <row r="1525">
      <c r="D1525" s="6"/>
      <c r="E1525" s="6"/>
    </row>
    <row r="1526">
      <c r="D1526" s="6"/>
      <c r="E1526" s="6"/>
    </row>
    <row r="1527">
      <c r="D1527" s="6"/>
      <c r="E1527" s="6"/>
    </row>
    <row r="1528">
      <c r="D1528" s="6"/>
      <c r="E1528" s="6"/>
    </row>
    <row r="1529">
      <c r="D1529" s="6"/>
      <c r="E1529" s="6"/>
    </row>
    <row r="1530">
      <c r="D1530" s="6"/>
      <c r="E1530" s="6"/>
    </row>
    <row r="1531">
      <c r="D1531" s="6"/>
      <c r="E1531" s="6"/>
    </row>
    <row r="1532">
      <c r="D1532" s="6"/>
      <c r="E1532" s="6"/>
    </row>
    <row r="1533">
      <c r="D1533" s="6"/>
      <c r="E1533" s="6"/>
    </row>
    <row r="1534">
      <c r="D1534" s="6"/>
      <c r="E1534" s="6"/>
    </row>
    <row r="1535">
      <c r="D1535" s="6"/>
      <c r="E1535" s="6"/>
    </row>
    <row r="1536">
      <c r="D1536" s="6"/>
      <c r="E1536" s="6"/>
    </row>
    <row r="1537">
      <c r="D1537" s="6"/>
      <c r="E1537" s="6"/>
    </row>
    <row r="1538">
      <c r="D1538" s="6"/>
      <c r="E1538" s="6"/>
    </row>
    <row r="1539">
      <c r="D1539" s="6"/>
      <c r="E1539" s="6"/>
    </row>
    <row r="1540">
      <c r="D1540" s="6"/>
      <c r="E1540" s="6"/>
    </row>
    <row r="1541">
      <c r="D1541" s="6"/>
      <c r="E1541" s="6"/>
    </row>
    <row r="1542">
      <c r="D1542" s="6"/>
      <c r="E1542" s="6"/>
    </row>
    <row r="1543">
      <c r="D1543" s="6"/>
      <c r="E1543" s="6"/>
    </row>
    <row r="1544">
      <c r="D1544" s="6"/>
      <c r="E1544" s="6"/>
    </row>
    <row r="1545">
      <c r="D1545" s="6"/>
      <c r="E1545" s="6"/>
    </row>
    <row r="1546">
      <c r="D1546" s="6"/>
      <c r="E1546" s="6"/>
    </row>
    <row r="1547">
      <c r="D1547" s="6"/>
      <c r="E1547" s="6"/>
    </row>
    <row r="1548">
      <c r="D1548" s="6"/>
      <c r="E1548" s="6"/>
    </row>
    <row r="1549">
      <c r="D1549" s="6"/>
      <c r="E1549" s="6"/>
    </row>
    <row r="1550">
      <c r="D1550" s="6"/>
      <c r="E1550" s="6"/>
    </row>
    <row r="1551">
      <c r="D1551" s="6"/>
      <c r="E1551" s="6"/>
    </row>
    <row r="1552">
      <c r="D1552" s="6"/>
      <c r="E1552" s="6"/>
    </row>
    <row r="1553">
      <c r="D1553" s="6"/>
      <c r="E1553" s="6"/>
    </row>
    <row r="1554">
      <c r="D1554" s="6"/>
      <c r="E1554" s="6"/>
    </row>
    <row r="1555">
      <c r="D1555" s="6"/>
      <c r="E1555" s="6"/>
    </row>
    <row r="1556">
      <c r="D1556" s="6"/>
      <c r="E1556" s="6"/>
    </row>
    <row r="1557">
      <c r="D1557" s="6"/>
      <c r="E1557" s="6"/>
    </row>
    <row r="1558">
      <c r="D1558" s="6"/>
      <c r="E1558" s="6"/>
    </row>
    <row r="1559">
      <c r="D1559" s="6"/>
      <c r="E1559" s="6"/>
    </row>
    <row r="1560">
      <c r="D1560" s="6"/>
      <c r="E1560" s="6"/>
    </row>
    <row r="1561">
      <c r="D1561" s="6"/>
      <c r="E1561" s="6"/>
    </row>
    <row r="1562">
      <c r="D1562" s="6"/>
      <c r="E1562" s="6"/>
    </row>
    <row r="1563">
      <c r="D1563" s="6"/>
      <c r="E1563" s="6"/>
    </row>
    <row r="1564">
      <c r="D1564" s="6"/>
      <c r="E1564" s="6"/>
    </row>
    <row r="1565">
      <c r="D1565" s="6"/>
      <c r="E1565" s="6"/>
    </row>
    <row r="1566">
      <c r="D1566" s="6"/>
      <c r="E1566" s="6"/>
    </row>
    <row r="1567">
      <c r="D1567" s="6"/>
      <c r="E1567" s="6"/>
    </row>
    <row r="1568">
      <c r="D1568" s="6"/>
      <c r="E1568" s="6"/>
    </row>
    <row r="1569">
      <c r="D1569" s="6"/>
      <c r="E1569" s="6"/>
    </row>
    <row r="1570">
      <c r="D1570" s="6"/>
      <c r="E1570" s="6"/>
    </row>
    <row r="1571">
      <c r="D1571" s="6"/>
      <c r="E1571" s="6"/>
    </row>
    <row r="1572">
      <c r="D1572" s="6"/>
      <c r="E1572" s="6"/>
    </row>
    <row r="1573">
      <c r="D1573" s="6"/>
      <c r="E1573" s="6"/>
    </row>
    <row r="1574">
      <c r="D1574" s="6"/>
      <c r="E1574" s="6"/>
    </row>
    <row r="1575">
      <c r="D1575" s="6"/>
      <c r="E1575" s="6"/>
    </row>
    <row r="1576">
      <c r="D1576" s="6"/>
      <c r="E1576" s="6"/>
    </row>
    <row r="1577">
      <c r="D1577" s="6"/>
      <c r="E1577" s="6"/>
    </row>
    <row r="1578">
      <c r="D1578" s="6"/>
      <c r="E1578" s="6"/>
    </row>
    <row r="1579">
      <c r="D1579" s="6"/>
      <c r="E1579" s="6"/>
    </row>
    <row r="1580">
      <c r="D1580" s="6"/>
      <c r="E1580" s="6"/>
    </row>
    <row r="1581">
      <c r="D1581" s="6"/>
      <c r="E1581" s="6"/>
    </row>
    <row r="1582">
      <c r="D1582" s="6"/>
      <c r="E1582" s="6"/>
    </row>
    <row r="1583">
      <c r="D1583" s="6"/>
      <c r="E1583" s="6"/>
    </row>
    <row r="1584">
      <c r="D1584" s="6"/>
      <c r="E1584" s="6"/>
    </row>
    <row r="1585">
      <c r="D1585" s="6"/>
      <c r="E1585" s="6"/>
    </row>
    <row r="1586">
      <c r="D1586" s="6"/>
      <c r="E1586" s="6"/>
    </row>
    <row r="1587">
      <c r="D1587" s="6"/>
      <c r="E1587" s="6"/>
    </row>
    <row r="1588">
      <c r="D1588" s="6"/>
      <c r="E1588" s="6"/>
    </row>
    <row r="1589">
      <c r="D1589" s="6"/>
      <c r="E1589" s="6"/>
    </row>
    <row r="1590">
      <c r="D1590" s="6"/>
      <c r="E1590" s="6"/>
    </row>
    <row r="1591">
      <c r="D1591" s="6"/>
      <c r="E1591" s="6"/>
    </row>
    <row r="1592">
      <c r="D1592" s="6"/>
      <c r="E1592" s="6"/>
    </row>
    <row r="1593">
      <c r="D1593" s="6"/>
      <c r="E1593" s="6"/>
    </row>
    <row r="1594">
      <c r="D1594" s="6"/>
      <c r="E1594" s="6"/>
    </row>
    <row r="1595">
      <c r="D1595" s="6"/>
      <c r="E1595" s="6"/>
    </row>
    <row r="1596">
      <c r="D1596" s="6"/>
      <c r="E1596" s="6"/>
    </row>
    <row r="1597">
      <c r="D1597" s="6"/>
      <c r="E1597" s="6"/>
    </row>
    <row r="1598">
      <c r="D1598" s="6"/>
      <c r="E1598" s="6"/>
    </row>
    <row r="1599">
      <c r="D1599" s="6"/>
      <c r="E1599" s="6"/>
    </row>
    <row r="1600">
      <c r="D1600" s="6"/>
      <c r="E1600" s="6"/>
    </row>
    <row r="1601">
      <c r="D1601" s="6"/>
      <c r="E1601" s="6"/>
    </row>
    <row r="1602">
      <c r="D1602" s="6"/>
      <c r="E1602" s="6"/>
    </row>
    <row r="1603">
      <c r="D1603" s="6"/>
      <c r="E1603" s="6"/>
    </row>
    <row r="1604">
      <c r="D1604" s="6"/>
      <c r="E1604" s="6"/>
    </row>
    <row r="1605">
      <c r="D1605" s="6"/>
      <c r="E1605" s="6"/>
    </row>
    <row r="1606">
      <c r="D1606" s="6"/>
      <c r="E1606" s="6"/>
    </row>
    <row r="1607">
      <c r="D1607" s="6"/>
      <c r="E1607" s="6"/>
    </row>
    <row r="1608">
      <c r="D1608" s="6"/>
      <c r="E1608" s="6"/>
    </row>
    <row r="1609">
      <c r="D1609" s="6"/>
      <c r="E1609" s="6"/>
    </row>
    <row r="1610">
      <c r="D1610" s="6"/>
      <c r="E1610" s="6"/>
    </row>
    <row r="1611">
      <c r="D1611" s="6"/>
      <c r="E1611" s="6"/>
    </row>
    <row r="1612">
      <c r="D1612" s="6"/>
      <c r="E1612" s="6"/>
    </row>
    <row r="1613">
      <c r="D1613" s="6"/>
      <c r="E1613" s="6"/>
    </row>
    <row r="1614">
      <c r="D1614" s="6"/>
      <c r="E1614" s="6"/>
    </row>
    <row r="1615">
      <c r="D1615" s="6"/>
      <c r="E1615" s="6"/>
    </row>
    <row r="1616">
      <c r="D1616" s="6"/>
      <c r="E1616" s="6"/>
    </row>
    <row r="1617">
      <c r="D1617" s="6"/>
      <c r="E1617" s="6"/>
    </row>
    <row r="1618">
      <c r="D1618" s="6"/>
      <c r="E1618" s="6"/>
    </row>
    <row r="1619">
      <c r="D1619" s="6"/>
      <c r="E1619" s="6"/>
    </row>
    <row r="1620">
      <c r="D1620" s="6"/>
      <c r="E1620" s="6"/>
    </row>
    <row r="1621">
      <c r="D1621" s="6"/>
      <c r="E1621" s="6"/>
    </row>
    <row r="1622">
      <c r="D1622" s="6"/>
      <c r="E1622" s="6"/>
    </row>
    <row r="1623">
      <c r="D1623" s="6"/>
      <c r="E1623" s="6"/>
    </row>
    <row r="1624">
      <c r="D1624" s="6"/>
      <c r="E1624" s="6"/>
    </row>
    <row r="1625">
      <c r="D1625" s="6"/>
      <c r="E1625" s="6"/>
    </row>
    <row r="1626">
      <c r="D1626" s="6"/>
      <c r="E1626" s="6"/>
    </row>
    <row r="1627">
      <c r="D1627" s="6"/>
      <c r="E1627" s="6"/>
    </row>
    <row r="1628">
      <c r="D1628" s="6"/>
      <c r="E1628" s="6"/>
    </row>
    <row r="1629">
      <c r="D1629" s="6"/>
      <c r="E1629" s="6"/>
    </row>
    <row r="1630">
      <c r="D1630" s="6"/>
      <c r="E1630" s="6"/>
    </row>
    <row r="1631">
      <c r="D1631" s="6"/>
      <c r="E1631" s="6"/>
    </row>
    <row r="1632">
      <c r="D1632" s="6"/>
      <c r="E1632" s="6"/>
    </row>
    <row r="1633">
      <c r="D1633" s="6"/>
      <c r="E1633" s="6"/>
    </row>
    <row r="1634">
      <c r="D1634" s="6"/>
      <c r="E1634" s="6"/>
    </row>
    <row r="1635">
      <c r="D1635" s="6"/>
      <c r="E1635" s="6"/>
    </row>
    <row r="1636">
      <c r="D1636" s="6"/>
      <c r="E1636" s="6"/>
    </row>
    <row r="1637">
      <c r="D1637" s="6"/>
      <c r="E1637" s="6"/>
    </row>
    <row r="1638">
      <c r="D1638" s="6"/>
      <c r="E1638" s="6"/>
    </row>
    <row r="1639">
      <c r="D1639" s="6"/>
      <c r="E1639" s="6"/>
    </row>
    <row r="1640">
      <c r="D1640" s="6"/>
      <c r="E1640" s="6"/>
    </row>
    <row r="1641">
      <c r="D1641" s="6"/>
      <c r="E1641" s="6"/>
    </row>
    <row r="1642">
      <c r="D1642" s="6"/>
      <c r="E1642" s="6"/>
    </row>
    <row r="1643">
      <c r="D1643" s="6"/>
      <c r="E1643" s="6"/>
    </row>
    <row r="1644">
      <c r="D1644" s="6"/>
      <c r="E1644" s="6"/>
    </row>
    <row r="1645">
      <c r="D1645" s="6"/>
      <c r="E1645" s="6"/>
    </row>
    <row r="1646">
      <c r="D1646" s="6"/>
      <c r="E1646" s="6"/>
    </row>
    <row r="1647">
      <c r="D1647" s="6"/>
      <c r="E1647" s="6"/>
    </row>
    <row r="1648">
      <c r="D1648" s="6"/>
      <c r="E1648" s="6"/>
    </row>
    <row r="1649">
      <c r="D1649" s="6"/>
      <c r="E1649" s="6"/>
    </row>
    <row r="1650">
      <c r="D1650" s="6"/>
      <c r="E1650" s="6"/>
    </row>
    <row r="1651">
      <c r="D1651" s="6"/>
      <c r="E1651" s="6"/>
    </row>
    <row r="1652">
      <c r="D1652" s="6"/>
      <c r="E1652" s="6"/>
    </row>
    <row r="1653">
      <c r="D1653" s="6"/>
      <c r="E1653" s="6"/>
    </row>
    <row r="1654">
      <c r="D1654" s="6"/>
      <c r="E1654" s="6"/>
    </row>
    <row r="1655">
      <c r="D1655" s="6"/>
      <c r="E1655" s="6"/>
    </row>
    <row r="1656">
      <c r="D1656" s="6"/>
      <c r="E1656" s="6"/>
    </row>
    <row r="1657">
      <c r="D1657" s="6"/>
      <c r="E1657" s="6"/>
    </row>
    <row r="1658">
      <c r="D1658" s="6"/>
      <c r="E1658" s="6"/>
    </row>
    <row r="1659">
      <c r="D1659" s="6"/>
      <c r="E1659" s="6"/>
    </row>
    <row r="1660">
      <c r="D1660" s="6"/>
      <c r="E1660" s="6"/>
    </row>
    <row r="1661">
      <c r="D1661" s="6"/>
      <c r="E1661" s="6"/>
    </row>
    <row r="1662">
      <c r="D1662" s="6"/>
      <c r="E1662" s="6"/>
    </row>
    <row r="1663">
      <c r="D1663" s="6"/>
      <c r="E1663" s="6"/>
    </row>
    <row r="1664">
      <c r="D1664" s="6"/>
      <c r="E1664" s="6"/>
    </row>
    <row r="1665">
      <c r="D1665" s="6"/>
      <c r="E1665" s="6"/>
    </row>
    <row r="1666">
      <c r="D1666" s="6"/>
      <c r="E1666" s="6"/>
    </row>
    <row r="1667">
      <c r="D1667" s="6"/>
      <c r="E1667" s="6"/>
    </row>
    <row r="1668">
      <c r="D1668" s="6"/>
      <c r="E1668" s="6"/>
    </row>
    <row r="1669">
      <c r="D1669" s="6"/>
      <c r="E1669" s="6"/>
    </row>
    <row r="1670">
      <c r="D1670" s="6"/>
      <c r="E1670" s="6"/>
    </row>
    <row r="1671">
      <c r="D1671" s="6"/>
      <c r="E1671" s="6"/>
    </row>
    <row r="1672">
      <c r="D1672" s="6"/>
      <c r="E1672" s="6"/>
    </row>
    <row r="1673">
      <c r="D1673" s="6"/>
      <c r="E1673" s="6"/>
    </row>
    <row r="1674">
      <c r="D1674" s="6"/>
      <c r="E1674" s="6"/>
    </row>
    <row r="1675">
      <c r="D1675" s="6"/>
      <c r="E1675" s="6"/>
    </row>
    <row r="1676">
      <c r="D1676" s="6"/>
      <c r="E1676" s="6"/>
    </row>
    <row r="1677">
      <c r="D1677" s="6"/>
      <c r="E1677" s="6"/>
    </row>
    <row r="1678">
      <c r="D1678" s="6"/>
      <c r="E1678" s="6"/>
    </row>
    <row r="1679">
      <c r="D1679" s="6"/>
      <c r="E1679" s="6"/>
    </row>
    <row r="1680">
      <c r="D1680" s="6"/>
      <c r="E1680" s="6"/>
    </row>
    <row r="1681">
      <c r="D1681" s="6"/>
      <c r="E1681" s="6"/>
    </row>
    <row r="1682">
      <c r="D1682" s="6"/>
      <c r="E1682" s="6"/>
    </row>
    <row r="1683">
      <c r="D1683" s="6"/>
      <c r="E1683" s="6"/>
    </row>
    <row r="1684">
      <c r="D1684" s="6"/>
      <c r="E1684" s="6"/>
    </row>
    <row r="1685">
      <c r="D1685" s="6"/>
      <c r="E1685" s="6"/>
    </row>
    <row r="1686">
      <c r="D1686" s="6"/>
      <c r="E1686" s="6"/>
    </row>
    <row r="1687">
      <c r="D1687" s="6"/>
      <c r="E1687" s="6"/>
    </row>
    <row r="1688">
      <c r="D1688" s="6"/>
      <c r="E1688" s="6"/>
    </row>
    <row r="1689">
      <c r="D1689" s="6"/>
      <c r="E1689" s="6"/>
    </row>
    <row r="1690">
      <c r="D1690" s="6"/>
      <c r="E1690" s="6"/>
    </row>
    <row r="1691">
      <c r="D1691" s="6"/>
      <c r="E1691" s="6"/>
    </row>
    <row r="1692">
      <c r="D1692" s="6"/>
      <c r="E1692" s="6"/>
    </row>
    <row r="1693">
      <c r="D1693" s="6"/>
      <c r="E1693" s="6"/>
    </row>
    <row r="1694">
      <c r="D1694" s="6"/>
      <c r="E1694" s="6"/>
    </row>
    <row r="1695">
      <c r="D1695" s="6"/>
      <c r="E1695" s="6"/>
    </row>
    <row r="1696">
      <c r="D1696" s="6"/>
      <c r="E1696" s="6"/>
    </row>
    <row r="1697">
      <c r="D1697" s="6"/>
      <c r="E1697" s="6"/>
    </row>
    <row r="1698">
      <c r="D1698" s="6"/>
      <c r="E1698" s="6"/>
    </row>
    <row r="1699">
      <c r="D1699" s="6"/>
      <c r="E1699" s="6"/>
    </row>
    <row r="1700">
      <c r="D1700" s="6"/>
      <c r="E1700" s="6"/>
    </row>
    <row r="1701">
      <c r="D1701" s="6"/>
      <c r="E1701" s="6"/>
    </row>
    <row r="1702">
      <c r="D1702" s="6"/>
      <c r="E1702" s="6"/>
    </row>
    <row r="1703">
      <c r="D1703" s="6"/>
      <c r="E1703" s="6"/>
    </row>
    <row r="1704">
      <c r="D1704" s="6"/>
      <c r="E1704" s="6"/>
    </row>
    <row r="1705">
      <c r="D1705" s="6"/>
      <c r="E1705" s="6"/>
    </row>
    <row r="1706">
      <c r="D1706" s="6"/>
      <c r="E1706" s="6"/>
    </row>
    <row r="1707">
      <c r="D1707" s="6"/>
      <c r="E1707" s="6"/>
    </row>
    <row r="1708">
      <c r="D1708" s="6"/>
      <c r="E1708" s="6"/>
    </row>
    <row r="1709">
      <c r="D1709" s="6"/>
      <c r="E1709" s="6"/>
    </row>
    <row r="1710">
      <c r="D1710" s="6"/>
      <c r="E1710" s="6"/>
    </row>
    <row r="1711">
      <c r="D1711" s="6"/>
      <c r="E1711" s="6"/>
    </row>
    <row r="1712">
      <c r="D1712" s="6"/>
      <c r="E1712" s="6"/>
    </row>
    <row r="1713">
      <c r="D1713" s="6"/>
      <c r="E1713" s="6"/>
    </row>
    <row r="1714">
      <c r="D1714" s="6"/>
      <c r="E1714" s="6"/>
    </row>
    <row r="1715">
      <c r="D1715" s="6"/>
      <c r="E1715" s="6"/>
    </row>
    <row r="1716">
      <c r="D1716" s="6"/>
      <c r="E1716" s="6"/>
    </row>
    <row r="1717">
      <c r="D1717" s="6"/>
      <c r="E1717" s="6"/>
    </row>
    <row r="1718">
      <c r="D1718" s="6"/>
      <c r="E1718" s="6"/>
    </row>
    <row r="1719">
      <c r="D1719" s="6"/>
      <c r="E1719" s="6"/>
    </row>
    <row r="1720">
      <c r="D1720" s="6"/>
      <c r="E1720" s="6"/>
    </row>
    <row r="1721">
      <c r="D1721" s="6"/>
      <c r="E1721" s="6"/>
    </row>
    <row r="1722">
      <c r="D1722" s="6"/>
      <c r="E1722" s="6"/>
    </row>
    <row r="1723">
      <c r="D1723" s="6"/>
      <c r="E1723" s="6"/>
    </row>
    <row r="1724">
      <c r="D1724" s="6"/>
      <c r="E1724" s="6"/>
    </row>
    <row r="1725">
      <c r="D1725" s="6"/>
      <c r="E1725" s="6"/>
    </row>
    <row r="1726">
      <c r="D1726" s="6"/>
      <c r="E1726" s="6"/>
    </row>
    <row r="1727">
      <c r="D1727" s="6"/>
      <c r="E1727" s="6"/>
    </row>
    <row r="1728">
      <c r="D1728" s="6"/>
      <c r="E1728" s="6"/>
    </row>
    <row r="1729">
      <c r="D1729" s="6"/>
      <c r="E1729" s="6"/>
    </row>
    <row r="1730">
      <c r="D1730" s="6"/>
      <c r="E1730" s="6"/>
    </row>
    <row r="1731">
      <c r="D1731" s="6"/>
      <c r="E1731" s="6"/>
    </row>
    <row r="1732">
      <c r="D1732" s="6"/>
      <c r="E1732" s="6"/>
    </row>
    <row r="1733">
      <c r="D1733" s="6"/>
      <c r="E1733" s="6"/>
    </row>
    <row r="1734">
      <c r="D1734" s="6"/>
      <c r="E1734" s="6"/>
    </row>
    <row r="1735">
      <c r="D1735" s="6"/>
      <c r="E1735" s="6"/>
    </row>
    <row r="1736">
      <c r="D1736" s="6"/>
      <c r="E1736" s="6"/>
    </row>
    <row r="1737">
      <c r="D1737" s="6"/>
      <c r="E1737" s="6"/>
    </row>
    <row r="1738">
      <c r="D1738" s="6"/>
      <c r="E1738" s="6"/>
    </row>
    <row r="1739">
      <c r="D1739" s="6"/>
      <c r="E1739" s="6"/>
    </row>
    <row r="1740">
      <c r="D1740" s="6"/>
      <c r="E1740" s="6"/>
    </row>
    <row r="1741">
      <c r="D1741" s="6"/>
      <c r="E1741" s="6"/>
    </row>
    <row r="1742">
      <c r="D1742" s="6"/>
      <c r="E1742" s="6"/>
    </row>
    <row r="1743">
      <c r="D1743" s="6"/>
      <c r="E1743" s="6"/>
    </row>
    <row r="1744">
      <c r="D1744" s="6"/>
      <c r="E1744" s="6"/>
    </row>
    <row r="1745">
      <c r="D1745" s="6"/>
      <c r="E1745" s="6"/>
    </row>
    <row r="1746">
      <c r="D1746" s="6"/>
      <c r="E1746" s="6"/>
    </row>
    <row r="1747">
      <c r="D1747" s="6"/>
      <c r="E1747" s="6"/>
    </row>
    <row r="1748">
      <c r="D1748" s="6"/>
      <c r="E1748" s="6"/>
    </row>
    <row r="1749">
      <c r="D1749" s="6"/>
      <c r="E1749" s="6"/>
    </row>
    <row r="1750">
      <c r="D1750" s="6"/>
      <c r="E1750" s="6"/>
    </row>
    <row r="1751">
      <c r="D1751" s="6"/>
      <c r="E1751" s="6"/>
    </row>
    <row r="1752">
      <c r="D1752" s="6"/>
      <c r="E1752" s="6"/>
    </row>
    <row r="1753">
      <c r="D1753" s="6"/>
      <c r="E1753" s="6"/>
    </row>
    <row r="1754">
      <c r="D1754" s="6"/>
      <c r="E1754" s="6"/>
    </row>
    <row r="1755">
      <c r="D1755" s="6"/>
      <c r="E1755" s="6"/>
    </row>
    <row r="1756">
      <c r="D1756" s="6"/>
      <c r="E1756" s="6"/>
    </row>
    <row r="1757">
      <c r="D1757" s="6"/>
      <c r="E1757" s="6"/>
    </row>
    <row r="1758">
      <c r="D1758" s="6"/>
      <c r="E1758" s="6"/>
    </row>
    <row r="1759">
      <c r="D1759" s="6"/>
      <c r="E1759" s="6"/>
    </row>
    <row r="1760">
      <c r="D1760" s="6"/>
      <c r="E1760" s="6"/>
    </row>
    <row r="1761">
      <c r="D1761" s="6"/>
      <c r="E1761" s="6"/>
    </row>
    <row r="1762">
      <c r="D1762" s="6"/>
      <c r="E1762" s="6"/>
    </row>
    <row r="1763">
      <c r="D1763" s="6"/>
      <c r="E1763" s="6"/>
    </row>
    <row r="1764">
      <c r="D1764" s="6"/>
      <c r="E1764" s="6"/>
    </row>
    <row r="1765">
      <c r="D1765" s="6"/>
      <c r="E1765" s="6"/>
    </row>
    <row r="1766">
      <c r="D1766" s="6"/>
      <c r="E1766" s="6"/>
    </row>
    <row r="1767">
      <c r="D1767" s="6"/>
      <c r="E1767" s="6"/>
    </row>
    <row r="1768">
      <c r="D1768" s="6"/>
      <c r="E1768" s="6"/>
    </row>
    <row r="1769">
      <c r="D1769" s="6"/>
      <c r="E1769" s="6"/>
    </row>
    <row r="1770">
      <c r="D1770" s="6"/>
      <c r="E1770" s="6"/>
    </row>
    <row r="1771">
      <c r="D1771" s="6"/>
      <c r="E1771" s="6"/>
    </row>
    <row r="1772">
      <c r="D1772" s="6"/>
      <c r="E1772" s="6"/>
    </row>
    <row r="1773">
      <c r="D1773" s="6"/>
      <c r="E1773" s="6"/>
    </row>
    <row r="1774">
      <c r="D1774" s="6"/>
      <c r="E1774" s="6"/>
    </row>
    <row r="1775">
      <c r="D1775" s="6"/>
      <c r="E1775" s="6"/>
    </row>
    <row r="1776">
      <c r="D1776" s="6"/>
      <c r="E1776" s="6"/>
    </row>
    <row r="1777">
      <c r="D1777" s="6"/>
      <c r="E1777" s="6"/>
    </row>
    <row r="1778">
      <c r="D1778" s="6"/>
      <c r="E1778" s="6"/>
    </row>
    <row r="1779">
      <c r="D1779" s="6"/>
      <c r="E1779" s="6"/>
    </row>
    <row r="1780">
      <c r="D1780" s="6"/>
      <c r="E1780" s="6"/>
    </row>
    <row r="1781">
      <c r="D1781" s="6"/>
      <c r="E1781" s="6"/>
    </row>
    <row r="1782">
      <c r="D1782" s="6"/>
      <c r="E1782" s="6"/>
    </row>
    <row r="1783">
      <c r="D1783" s="6"/>
      <c r="E1783" s="6"/>
    </row>
    <row r="1784">
      <c r="D1784" s="6"/>
      <c r="E1784" s="6"/>
    </row>
    <row r="1785">
      <c r="D1785" s="6"/>
      <c r="E1785" s="6"/>
    </row>
    <row r="1786">
      <c r="D1786" s="6"/>
      <c r="E1786" s="6"/>
    </row>
    <row r="1787">
      <c r="D1787" s="6"/>
      <c r="E1787" s="6"/>
    </row>
    <row r="1788">
      <c r="D1788" s="6"/>
      <c r="E1788" s="6"/>
    </row>
    <row r="1789">
      <c r="D1789" s="6"/>
      <c r="E1789" s="6"/>
    </row>
    <row r="1790">
      <c r="D1790" s="6"/>
      <c r="E1790" s="6"/>
    </row>
    <row r="1791">
      <c r="D1791" s="6"/>
      <c r="E1791" s="6"/>
    </row>
    <row r="1792">
      <c r="D1792" s="6"/>
      <c r="E1792" s="6"/>
    </row>
    <row r="1793">
      <c r="D1793" s="6"/>
      <c r="E1793" s="6"/>
    </row>
    <row r="1794">
      <c r="D1794" s="6"/>
      <c r="E1794" s="6"/>
    </row>
    <row r="1795">
      <c r="D1795" s="6"/>
      <c r="E1795" s="6"/>
    </row>
    <row r="1796">
      <c r="D1796" s="6"/>
      <c r="E1796" s="6"/>
    </row>
    <row r="1797">
      <c r="D1797" s="6"/>
      <c r="E1797" s="6"/>
    </row>
    <row r="1798">
      <c r="D1798" s="6"/>
      <c r="E1798" s="6"/>
    </row>
    <row r="1799">
      <c r="D1799" s="6"/>
      <c r="E1799" s="6"/>
    </row>
    <row r="1800">
      <c r="D1800" s="6"/>
      <c r="E1800" s="6"/>
    </row>
    <row r="1801">
      <c r="D1801" s="6"/>
      <c r="E1801" s="6"/>
    </row>
    <row r="1802">
      <c r="D1802" s="6"/>
      <c r="E1802" s="6"/>
    </row>
    <row r="1803">
      <c r="D1803" s="6"/>
      <c r="E1803" s="6"/>
    </row>
    <row r="1804">
      <c r="D1804" s="6"/>
      <c r="E1804" s="6"/>
    </row>
    <row r="1805">
      <c r="D1805" s="6"/>
      <c r="E1805" s="6"/>
    </row>
    <row r="1806">
      <c r="D1806" s="6"/>
      <c r="E1806" s="6"/>
    </row>
    <row r="1807">
      <c r="D1807" s="6"/>
      <c r="E1807" s="6"/>
    </row>
    <row r="1808">
      <c r="D1808" s="6"/>
      <c r="E1808" s="6"/>
    </row>
    <row r="1809">
      <c r="D1809" s="6"/>
      <c r="E1809" s="6"/>
    </row>
    <row r="1810">
      <c r="D1810" s="6"/>
      <c r="E1810" s="6"/>
    </row>
    <row r="1811">
      <c r="D1811" s="6"/>
      <c r="E1811" s="6"/>
    </row>
    <row r="1812">
      <c r="D1812" s="6"/>
      <c r="E1812" s="6"/>
    </row>
    <row r="1813">
      <c r="D1813" s="6"/>
      <c r="E1813" s="6"/>
    </row>
    <row r="1814">
      <c r="D1814" s="6"/>
      <c r="E1814" s="6"/>
    </row>
    <row r="1815">
      <c r="D1815" s="6"/>
      <c r="E1815" s="6"/>
    </row>
    <row r="1816">
      <c r="D1816" s="6"/>
      <c r="E1816" s="6"/>
    </row>
    <row r="1817">
      <c r="D1817" s="6"/>
      <c r="E1817" s="6"/>
    </row>
    <row r="1818">
      <c r="D1818" s="6"/>
      <c r="E1818" s="6"/>
    </row>
    <row r="1819">
      <c r="D1819" s="6"/>
      <c r="E1819" s="6"/>
    </row>
    <row r="1820">
      <c r="D1820" s="6"/>
      <c r="E1820" s="6"/>
    </row>
    <row r="1821">
      <c r="D1821" s="6"/>
      <c r="E1821" s="6"/>
    </row>
    <row r="1822">
      <c r="D1822" s="6"/>
      <c r="E1822" s="6"/>
    </row>
    <row r="1823">
      <c r="D1823" s="6"/>
      <c r="E1823" s="6"/>
    </row>
    <row r="1824">
      <c r="D1824" s="6"/>
      <c r="E1824" s="6"/>
    </row>
    <row r="1825">
      <c r="D1825" s="6"/>
      <c r="E1825" s="6"/>
    </row>
    <row r="1826">
      <c r="D1826" s="6"/>
      <c r="E1826" s="6"/>
    </row>
    <row r="1827">
      <c r="D1827" s="6"/>
      <c r="E1827" s="6"/>
    </row>
    <row r="1828">
      <c r="D1828" s="6"/>
      <c r="E1828" s="6"/>
    </row>
    <row r="1829">
      <c r="D1829" s="6"/>
      <c r="E1829" s="6"/>
    </row>
    <row r="1830">
      <c r="D1830" s="6"/>
      <c r="E1830" s="6"/>
    </row>
    <row r="1831">
      <c r="D1831" s="6"/>
      <c r="E1831" s="6"/>
    </row>
    <row r="1832">
      <c r="D1832" s="6"/>
      <c r="E1832" s="6"/>
    </row>
    <row r="1833">
      <c r="D1833" s="6"/>
      <c r="E1833" s="6"/>
    </row>
    <row r="1834">
      <c r="D1834" s="6"/>
      <c r="E1834" s="6"/>
    </row>
    <row r="1835">
      <c r="D1835" s="6"/>
      <c r="E1835" s="6"/>
    </row>
    <row r="1836">
      <c r="D1836" s="6"/>
      <c r="E1836" s="6"/>
    </row>
    <row r="1837">
      <c r="D1837" s="6"/>
      <c r="E1837" s="6"/>
    </row>
    <row r="1838">
      <c r="D1838" s="6"/>
      <c r="E1838" s="6"/>
    </row>
    <row r="1839">
      <c r="D1839" s="6"/>
      <c r="E1839" s="6"/>
    </row>
    <row r="1840">
      <c r="D1840" s="6"/>
      <c r="E1840" s="6"/>
    </row>
    <row r="1841">
      <c r="D1841" s="6"/>
      <c r="E1841" s="6"/>
    </row>
    <row r="1842">
      <c r="D1842" s="6"/>
      <c r="E1842" s="6"/>
    </row>
    <row r="1843">
      <c r="D1843" s="6"/>
      <c r="E1843" s="6"/>
    </row>
    <row r="1844">
      <c r="D1844" s="6"/>
      <c r="E1844" s="6"/>
    </row>
    <row r="1845">
      <c r="D1845" s="6"/>
      <c r="E1845" s="6"/>
    </row>
    <row r="1846">
      <c r="D1846" s="6"/>
      <c r="E1846" s="6"/>
    </row>
    <row r="1847">
      <c r="D1847" s="6"/>
      <c r="E1847" s="6"/>
    </row>
    <row r="1848">
      <c r="D1848" s="6"/>
      <c r="E1848" s="6"/>
    </row>
    <row r="1849">
      <c r="D1849" s="6"/>
      <c r="E1849" s="6"/>
    </row>
    <row r="1850">
      <c r="D1850" s="6"/>
      <c r="E1850" s="6"/>
    </row>
    <row r="1851">
      <c r="D1851" s="6"/>
      <c r="E1851" s="6"/>
    </row>
    <row r="1852">
      <c r="D1852" s="6"/>
      <c r="E1852" s="6"/>
    </row>
    <row r="1853">
      <c r="D1853" s="6"/>
      <c r="E1853" s="6"/>
    </row>
    <row r="1854">
      <c r="D1854" s="6"/>
      <c r="E1854" s="6"/>
    </row>
    <row r="1855">
      <c r="D1855" s="6"/>
      <c r="E1855" s="6"/>
    </row>
    <row r="1856">
      <c r="D1856" s="6"/>
      <c r="E1856" s="6"/>
    </row>
    <row r="1857">
      <c r="D1857" s="6"/>
      <c r="E1857" s="6"/>
    </row>
    <row r="1858">
      <c r="D1858" s="6"/>
      <c r="E1858" s="6"/>
    </row>
    <row r="1859">
      <c r="D1859" s="6"/>
      <c r="E1859" s="6"/>
    </row>
    <row r="1860">
      <c r="D1860" s="6"/>
      <c r="E1860" s="6"/>
    </row>
    <row r="1861">
      <c r="D1861" s="6"/>
      <c r="E1861" s="6"/>
    </row>
    <row r="1862">
      <c r="D1862" s="6"/>
      <c r="E1862" s="6"/>
    </row>
    <row r="1863">
      <c r="D1863" s="6"/>
      <c r="E1863" s="6"/>
    </row>
    <row r="1864">
      <c r="D1864" s="6"/>
      <c r="E1864" s="6"/>
    </row>
    <row r="1865">
      <c r="D1865" s="6"/>
      <c r="E1865" s="6"/>
    </row>
    <row r="1866">
      <c r="D1866" s="6"/>
      <c r="E1866" s="6"/>
    </row>
    <row r="1867">
      <c r="D1867" s="6"/>
      <c r="E1867" s="6"/>
    </row>
    <row r="1868">
      <c r="D1868" s="6"/>
      <c r="E1868" s="6"/>
    </row>
    <row r="1869">
      <c r="D1869" s="6"/>
      <c r="E1869" s="6"/>
    </row>
    <row r="1870">
      <c r="D1870" s="6"/>
      <c r="E1870" s="6"/>
    </row>
    <row r="1871">
      <c r="D1871" s="6"/>
      <c r="E1871" s="6"/>
    </row>
    <row r="1872">
      <c r="D1872" s="6"/>
      <c r="E1872" s="6"/>
    </row>
    <row r="1873">
      <c r="D1873" s="6"/>
      <c r="E1873" s="6"/>
    </row>
    <row r="1874">
      <c r="D1874" s="6"/>
      <c r="E1874" s="6"/>
    </row>
    <row r="1875">
      <c r="D1875" s="6"/>
      <c r="E1875" s="6"/>
    </row>
    <row r="1876">
      <c r="D1876" s="6"/>
      <c r="E1876" s="6"/>
    </row>
    <row r="1877">
      <c r="D1877" s="6"/>
      <c r="E1877" s="6"/>
    </row>
    <row r="1878">
      <c r="D1878" s="6"/>
      <c r="E1878" s="6"/>
    </row>
    <row r="1879">
      <c r="D1879" s="6"/>
      <c r="E1879" s="6"/>
    </row>
    <row r="1880">
      <c r="D1880" s="6"/>
      <c r="E1880" s="6"/>
    </row>
    <row r="1881">
      <c r="D1881" s="6"/>
      <c r="E1881" s="6"/>
    </row>
    <row r="1882">
      <c r="D1882" s="6"/>
      <c r="E1882" s="6"/>
    </row>
    <row r="1883">
      <c r="D1883" s="6"/>
      <c r="E1883" s="6"/>
    </row>
    <row r="1884">
      <c r="D1884" s="6"/>
      <c r="E1884" s="6"/>
    </row>
    <row r="1885">
      <c r="D1885" s="6"/>
      <c r="E1885" s="6"/>
    </row>
    <row r="1886">
      <c r="D1886" s="6"/>
      <c r="E1886" s="6"/>
    </row>
    <row r="1887">
      <c r="D1887" s="6"/>
      <c r="E1887" s="6"/>
    </row>
    <row r="1888">
      <c r="D1888" s="6"/>
      <c r="E1888" s="6"/>
    </row>
    <row r="1889">
      <c r="D1889" s="6"/>
      <c r="E1889" s="6"/>
    </row>
    <row r="1890">
      <c r="D1890" s="6"/>
      <c r="E1890" s="6"/>
    </row>
    <row r="1891">
      <c r="D1891" s="6"/>
      <c r="E1891" s="6"/>
    </row>
    <row r="1892">
      <c r="D1892" s="6"/>
      <c r="E1892" s="6"/>
    </row>
    <row r="1893">
      <c r="D1893" s="6"/>
      <c r="E1893" s="6"/>
    </row>
    <row r="1894">
      <c r="D1894" s="6"/>
      <c r="E1894" s="6"/>
    </row>
    <row r="1895">
      <c r="D1895" s="6"/>
      <c r="E1895" s="6"/>
    </row>
    <row r="1896">
      <c r="D1896" s="6"/>
      <c r="E1896" s="6"/>
    </row>
    <row r="1897">
      <c r="D1897" s="6"/>
      <c r="E1897" s="6"/>
    </row>
    <row r="1898">
      <c r="D1898" s="6"/>
      <c r="E1898" s="6"/>
    </row>
    <row r="1899">
      <c r="D1899" s="6"/>
      <c r="E1899" s="6"/>
    </row>
    <row r="1900">
      <c r="D1900" s="6"/>
      <c r="E1900" s="6"/>
    </row>
    <row r="1901">
      <c r="D1901" s="6"/>
      <c r="E1901" s="6"/>
    </row>
    <row r="1902">
      <c r="D1902" s="6"/>
      <c r="E1902" s="6"/>
    </row>
    <row r="1903">
      <c r="D1903" s="6"/>
      <c r="E1903" s="6"/>
    </row>
    <row r="1904">
      <c r="D1904" s="6"/>
      <c r="E1904" s="6"/>
    </row>
    <row r="1905">
      <c r="D1905" s="6"/>
      <c r="E1905" s="6"/>
    </row>
    <row r="1906">
      <c r="D1906" s="6"/>
      <c r="E1906" s="6"/>
    </row>
    <row r="1907">
      <c r="D1907" s="6"/>
      <c r="E1907" s="6"/>
    </row>
    <row r="1908">
      <c r="D1908" s="6"/>
      <c r="E1908" s="6"/>
    </row>
    <row r="1909">
      <c r="D1909" s="6"/>
      <c r="E1909" s="6"/>
    </row>
    <row r="1910">
      <c r="D1910" s="6"/>
      <c r="E1910" s="6"/>
    </row>
    <row r="1911">
      <c r="D1911" s="6"/>
      <c r="E1911" s="6"/>
    </row>
    <row r="1912">
      <c r="D1912" s="6"/>
      <c r="E1912" s="6"/>
    </row>
    <row r="1913">
      <c r="D1913" s="6"/>
      <c r="E1913" s="6"/>
    </row>
    <row r="1914">
      <c r="D1914" s="6"/>
      <c r="E1914" s="6"/>
    </row>
    <row r="1915">
      <c r="D1915" s="6"/>
      <c r="E1915" s="6"/>
    </row>
    <row r="1916">
      <c r="D1916" s="6"/>
      <c r="E1916" s="6"/>
    </row>
    <row r="1917">
      <c r="D1917" s="6"/>
      <c r="E1917" s="6"/>
    </row>
    <row r="1918">
      <c r="D1918" s="6"/>
      <c r="E1918" s="6"/>
    </row>
    <row r="1919">
      <c r="D1919" s="6"/>
      <c r="E1919" s="6"/>
    </row>
    <row r="1920">
      <c r="D1920" s="6"/>
      <c r="E1920" s="6"/>
    </row>
    <row r="1921">
      <c r="D1921" s="6"/>
      <c r="E1921" s="6"/>
    </row>
    <row r="1922">
      <c r="D1922" s="6"/>
      <c r="E1922" s="6"/>
    </row>
    <row r="1923">
      <c r="D1923" s="6"/>
      <c r="E1923" s="6"/>
    </row>
    <row r="1924">
      <c r="D1924" s="6"/>
      <c r="E1924" s="6"/>
    </row>
    <row r="1925">
      <c r="D1925" s="6"/>
      <c r="E1925" s="6"/>
    </row>
    <row r="1926">
      <c r="D1926" s="6"/>
      <c r="E1926" s="6"/>
    </row>
    <row r="1927">
      <c r="D1927" s="6"/>
      <c r="E1927" s="6"/>
    </row>
    <row r="1928">
      <c r="D1928" s="6"/>
      <c r="E1928" s="6"/>
    </row>
    <row r="1929">
      <c r="D1929" s="6"/>
      <c r="E1929" s="6"/>
    </row>
    <row r="1930">
      <c r="D1930" s="6"/>
      <c r="E1930" s="6"/>
    </row>
    <row r="1931">
      <c r="D1931" s="6"/>
      <c r="E1931" s="6"/>
    </row>
    <row r="1932">
      <c r="D1932" s="6"/>
      <c r="E1932" s="6"/>
    </row>
    <row r="1933">
      <c r="D1933" s="6"/>
      <c r="E1933" s="6"/>
    </row>
    <row r="1934">
      <c r="D1934" s="6"/>
      <c r="E1934" s="6"/>
    </row>
    <row r="1935">
      <c r="D1935" s="6"/>
      <c r="E1935" s="6"/>
    </row>
    <row r="1936">
      <c r="D1936" s="6"/>
      <c r="E1936" s="6"/>
    </row>
    <row r="1937">
      <c r="D1937" s="6"/>
      <c r="E1937" s="6"/>
    </row>
    <row r="1938">
      <c r="D1938" s="6"/>
      <c r="E1938" s="6"/>
    </row>
    <row r="1939">
      <c r="D1939" s="6"/>
      <c r="E1939" s="6"/>
    </row>
    <row r="1940">
      <c r="D1940" s="6"/>
      <c r="E1940" s="6"/>
    </row>
    <row r="1941">
      <c r="D1941" s="6"/>
      <c r="E1941" s="6"/>
    </row>
    <row r="1942">
      <c r="D1942" s="6"/>
      <c r="E1942" s="6"/>
    </row>
    <row r="1943">
      <c r="D1943" s="6"/>
      <c r="E1943" s="6"/>
    </row>
    <row r="1944">
      <c r="D1944" s="6"/>
      <c r="E1944" s="6"/>
    </row>
    <row r="1945">
      <c r="D1945" s="6"/>
      <c r="E1945" s="6"/>
    </row>
    <row r="1946">
      <c r="D1946" s="6"/>
      <c r="E1946" s="6"/>
    </row>
    <row r="1947">
      <c r="D1947" s="6"/>
      <c r="E1947" s="6"/>
    </row>
    <row r="1948">
      <c r="D1948" s="6"/>
      <c r="E1948" s="6"/>
    </row>
    <row r="1949">
      <c r="D1949" s="6"/>
      <c r="E1949" s="6"/>
    </row>
    <row r="1950">
      <c r="D1950" s="6"/>
      <c r="E1950" s="6"/>
    </row>
    <row r="1951">
      <c r="D1951" s="6"/>
      <c r="E1951" s="6"/>
    </row>
    <row r="1952">
      <c r="D1952" s="6"/>
      <c r="E1952" s="6"/>
    </row>
    <row r="1953">
      <c r="D1953" s="6"/>
      <c r="E1953" s="6"/>
    </row>
    <row r="1954">
      <c r="D1954" s="6"/>
      <c r="E1954" s="6"/>
    </row>
    <row r="1955">
      <c r="D1955" s="6"/>
      <c r="E1955" s="6"/>
    </row>
    <row r="1956">
      <c r="D1956" s="6"/>
      <c r="E1956" s="6"/>
    </row>
    <row r="1957">
      <c r="D1957" s="6"/>
      <c r="E1957" s="6"/>
    </row>
    <row r="1958">
      <c r="D1958" s="6"/>
      <c r="E1958" s="6"/>
    </row>
    <row r="1959">
      <c r="D1959" s="6"/>
      <c r="E1959" s="6"/>
    </row>
    <row r="1960">
      <c r="D1960" s="6"/>
      <c r="E1960" s="6"/>
    </row>
    <row r="1961">
      <c r="D1961" s="6"/>
      <c r="E1961" s="6"/>
    </row>
    <row r="1962">
      <c r="D1962" s="6"/>
      <c r="E1962" s="6"/>
    </row>
    <row r="1963">
      <c r="D1963" s="6"/>
      <c r="E1963" s="6"/>
    </row>
    <row r="1964">
      <c r="D1964" s="6"/>
      <c r="E1964" s="6"/>
    </row>
    <row r="1965">
      <c r="D1965" s="6"/>
      <c r="E1965" s="6"/>
    </row>
    <row r="1966">
      <c r="D1966" s="6"/>
      <c r="E1966" s="6"/>
    </row>
    <row r="1967">
      <c r="D1967" s="6"/>
      <c r="E1967" s="6"/>
    </row>
    <row r="1968">
      <c r="D1968" s="6"/>
      <c r="E1968" s="6"/>
    </row>
    <row r="1969">
      <c r="D1969" s="6"/>
      <c r="E1969" s="6"/>
    </row>
    <row r="1970">
      <c r="D1970" s="6"/>
      <c r="E1970" s="6"/>
    </row>
    <row r="1971">
      <c r="D1971" s="6"/>
      <c r="E1971" s="6"/>
    </row>
    <row r="1972">
      <c r="D1972" s="6"/>
      <c r="E1972" s="6"/>
    </row>
    <row r="1973">
      <c r="D1973" s="6"/>
      <c r="E1973" s="6"/>
    </row>
    <row r="1974">
      <c r="D1974" s="6"/>
      <c r="E1974" s="6"/>
    </row>
    <row r="1975">
      <c r="D1975" s="6"/>
      <c r="E1975" s="6"/>
    </row>
    <row r="1976">
      <c r="D1976" s="6"/>
      <c r="E1976" s="6"/>
    </row>
    <row r="1977">
      <c r="D1977" s="6"/>
      <c r="E1977" s="6"/>
    </row>
    <row r="1978">
      <c r="D1978" s="6"/>
      <c r="E1978" s="6"/>
    </row>
    <row r="1979">
      <c r="D1979" s="6"/>
      <c r="E1979" s="6"/>
    </row>
    <row r="1980">
      <c r="D1980" s="6"/>
      <c r="E1980" s="6"/>
    </row>
    <row r="1981">
      <c r="D1981" s="6"/>
      <c r="E1981" s="6"/>
    </row>
    <row r="1982">
      <c r="D1982" s="6"/>
      <c r="E1982" s="6"/>
    </row>
    <row r="1983">
      <c r="D1983" s="6"/>
      <c r="E1983" s="6"/>
    </row>
    <row r="1984">
      <c r="D1984" s="6"/>
      <c r="E1984" s="6"/>
    </row>
    <row r="1985">
      <c r="D1985" s="6"/>
      <c r="E1985" s="6"/>
    </row>
    <row r="1986">
      <c r="D1986" s="6"/>
      <c r="E1986" s="6"/>
    </row>
    <row r="1987">
      <c r="D1987" s="6"/>
      <c r="E1987" s="6"/>
    </row>
    <row r="1988">
      <c r="D1988" s="6"/>
      <c r="E1988" s="6"/>
    </row>
    <row r="1989">
      <c r="D1989" s="6"/>
      <c r="E1989" s="6"/>
    </row>
    <row r="1990">
      <c r="D1990" s="6"/>
      <c r="E1990" s="6"/>
    </row>
    <row r="1991">
      <c r="D1991" s="6"/>
      <c r="E1991" s="6"/>
    </row>
    <row r="1992">
      <c r="D1992" s="6"/>
      <c r="E1992" s="6"/>
    </row>
    <row r="1993">
      <c r="D1993" s="6"/>
      <c r="E1993" s="6"/>
    </row>
    <row r="1994">
      <c r="D1994" s="6"/>
      <c r="E1994" s="6"/>
    </row>
    <row r="1995">
      <c r="D1995" s="6"/>
      <c r="E1995" s="6"/>
    </row>
    <row r="1996">
      <c r="D1996" s="6"/>
      <c r="E1996" s="6"/>
    </row>
    <row r="1997">
      <c r="D1997" s="6"/>
      <c r="E1997" s="6"/>
    </row>
    <row r="1998">
      <c r="D1998" s="6"/>
      <c r="E1998" s="6"/>
    </row>
    <row r="1999">
      <c r="D1999" s="6"/>
      <c r="E1999" s="6"/>
    </row>
    <row r="2000">
      <c r="D2000" s="6"/>
      <c r="E2000" s="6"/>
    </row>
    <row r="2001">
      <c r="D2001" s="6"/>
      <c r="E2001" s="6"/>
    </row>
    <row r="2002">
      <c r="D2002" s="6"/>
      <c r="E2002" s="6"/>
    </row>
    <row r="2003">
      <c r="D2003" s="6"/>
      <c r="E2003" s="6"/>
    </row>
    <row r="2004">
      <c r="D2004" s="6"/>
      <c r="E2004" s="6"/>
    </row>
    <row r="2005">
      <c r="D2005" s="6"/>
      <c r="E2005" s="6"/>
    </row>
    <row r="2006">
      <c r="D2006" s="6"/>
      <c r="E2006" s="6"/>
    </row>
    <row r="2007">
      <c r="D2007" s="6"/>
      <c r="E2007" s="6"/>
    </row>
    <row r="2008">
      <c r="D2008" s="6"/>
      <c r="E2008" s="6"/>
    </row>
    <row r="2009">
      <c r="D2009" s="6"/>
      <c r="E2009" s="6"/>
    </row>
    <row r="2010">
      <c r="D2010" s="6"/>
      <c r="E2010" s="6"/>
    </row>
    <row r="2011">
      <c r="D2011" s="6"/>
      <c r="E2011" s="6"/>
    </row>
    <row r="2012">
      <c r="D2012" s="6"/>
      <c r="E2012" s="6"/>
    </row>
    <row r="2013">
      <c r="D2013" s="6"/>
      <c r="E2013" s="6"/>
    </row>
    <row r="2014">
      <c r="D2014" s="6"/>
      <c r="E2014" s="6"/>
    </row>
    <row r="2015">
      <c r="D2015" s="6"/>
      <c r="E2015" s="6"/>
    </row>
    <row r="2016">
      <c r="D2016" s="6"/>
      <c r="E2016" s="6"/>
    </row>
    <row r="2017">
      <c r="D2017" s="6"/>
      <c r="E2017" s="6"/>
    </row>
    <row r="2018">
      <c r="D2018" s="6"/>
      <c r="E2018" s="6"/>
    </row>
    <row r="2019">
      <c r="D2019" s="6"/>
      <c r="E2019" s="6"/>
    </row>
    <row r="2020">
      <c r="D2020" s="6"/>
      <c r="E2020" s="6"/>
    </row>
    <row r="2021">
      <c r="D2021" s="6"/>
      <c r="E2021" s="6"/>
    </row>
    <row r="2022">
      <c r="D2022" s="6"/>
      <c r="E2022" s="6"/>
    </row>
    <row r="2023">
      <c r="D2023" s="6"/>
      <c r="E2023" s="6"/>
    </row>
    <row r="2024">
      <c r="D2024" s="6"/>
      <c r="E2024" s="6"/>
    </row>
    <row r="2025">
      <c r="D2025" s="6"/>
      <c r="E2025" s="6"/>
    </row>
    <row r="2026">
      <c r="D2026" s="6"/>
      <c r="E2026" s="6"/>
    </row>
    <row r="2027">
      <c r="D2027" s="6"/>
      <c r="E2027" s="6"/>
    </row>
    <row r="2028">
      <c r="D2028" s="6"/>
      <c r="E2028" s="6"/>
    </row>
    <row r="2029">
      <c r="D2029" s="6"/>
      <c r="E2029" s="6"/>
    </row>
    <row r="2030">
      <c r="D2030" s="6"/>
      <c r="E2030" s="6"/>
    </row>
    <row r="2031">
      <c r="D2031" s="6"/>
      <c r="E2031" s="6"/>
    </row>
    <row r="2032">
      <c r="D2032" s="6"/>
      <c r="E2032" s="6"/>
    </row>
    <row r="2033">
      <c r="D2033" s="6"/>
      <c r="E2033" s="6"/>
    </row>
    <row r="2034">
      <c r="D2034" s="6"/>
      <c r="E2034" s="6"/>
    </row>
    <row r="2035">
      <c r="D2035" s="6"/>
      <c r="E2035" s="6"/>
    </row>
    <row r="2036">
      <c r="D2036" s="6"/>
      <c r="E2036" s="6"/>
    </row>
    <row r="2037">
      <c r="D2037" s="6"/>
      <c r="E2037" s="6"/>
    </row>
    <row r="2038">
      <c r="D2038" s="6"/>
      <c r="E2038" s="6"/>
    </row>
    <row r="2039">
      <c r="D2039" s="6"/>
      <c r="E2039" s="6"/>
    </row>
    <row r="2040">
      <c r="D2040" s="6"/>
      <c r="E2040" s="6"/>
    </row>
    <row r="2041">
      <c r="D2041" s="6"/>
      <c r="E2041" s="6"/>
    </row>
    <row r="2042">
      <c r="D2042" s="6"/>
      <c r="E2042" s="6"/>
    </row>
    <row r="2043">
      <c r="D2043" s="6"/>
      <c r="E2043" s="6"/>
    </row>
    <row r="2044">
      <c r="D2044" s="6"/>
      <c r="E2044" s="6"/>
    </row>
    <row r="2045">
      <c r="D2045" s="6"/>
      <c r="E2045" s="6"/>
    </row>
    <row r="2046">
      <c r="D2046" s="6"/>
      <c r="E2046" s="6"/>
    </row>
    <row r="2047">
      <c r="D2047" s="6"/>
      <c r="E2047" s="6"/>
    </row>
    <row r="2048">
      <c r="D2048" s="6"/>
      <c r="E2048" s="6"/>
    </row>
    <row r="2049">
      <c r="D2049" s="6"/>
      <c r="E2049" s="6"/>
    </row>
    <row r="2050">
      <c r="D2050" s="6"/>
      <c r="E2050" s="6"/>
    </row>
    <row r="2051">
      <c r="D2051" s="6"/>
      <c r="E2051" s="6"/>
    </row>
    <row r="2052">
      <c r="D2052" s="6"/>
      <c r="E2052" s="6"/>
    </row>
    <row r="2053">
      <c r="D2053" s="6"/>
      <c r="E2053" s="6"/>
    </row>
    <row r="2054">
      <c r="D2054" s="6"/>
      <c r="E2054" s="6"/>
    </row>
    <row r="2055">
      <c r="D2055" s="6"/>
      <c r="E2055" s="6"/>
    </row>
    <row r="2056">
      <c r="D2056" s="6"/>
      <c r="E2056" s="6"/>
    </row>
    <row r="2057">
      <c r="D2057" s="6"/>
      <c r="E2057" s="6"/>
    </row>
    <row r="2058">
      <c r="D2058" s="6"/>
      <c r="E2058" s="6"/>
    </row>
    <row r="2059">
      <c r="D2059" s="6"/>
      <c r="E2059" s="6"/>
    </row>
    <row r="2060">
      <c r="D2060" s="6"/>
      <c r="E2060" s="6"/>
    </row>
    <row r="2061">
      <c r="D2061" s="6"/>
      <c r="E2061" s="6"/>
    </row>
    <row r="2062">
      <c r="D2062" s="6"/>
      <c r="E2062" s="6"/>
    </row>
    <row r="2063">
      <c r="D2063" s="6"/>
      <c r="E2063" s="6"/>
    </row>
    <row r="2064">
      <c r="D2064" s="6"/>
      <c r="E2064" s="6"/>
    </row>
    <row r="2065">
      <c r="D2065" s="6"/>
      <c r="E2065" s="6"/>
    </row>
    <row r="2066">
      <c r="D2066" s="6"/>
      <c r="E2066" s="6"/>
    </row>
    <row r="2067">
      <c r="D2067" s="6"/>
      <c r="E2067" s="6"/>
    </row>
    <row r="2068">
      <c r="D2068" s="6"/>
      <c r="E2068" s="6"/>
    </row>
    <row r="2069">
      <c r="D2069" s="6"/>
      <c r="E2069" s="6"/>
    </row>
    <row r="2070">
      <c r="D2070" s="6"/>
      <c r="E2070" s="6"/>
    </row>
    <row r="2071">
      <c r="D2071" s="6"/>
      <c r="E2071" s="6"/>
    </row>
    <row r="2072">
      <c r="D2072" s="6"/>
      <c r="E2072" s="6"/>
    </row>
    <row r="2073">
      <c r="D2073" s="6"/>
      <c r="E2073" s="6"/>
    </row>
    <row r="2074">
      <c r="D2074" s="6"/>
      <c r="E2074" s="6"/>
    </row>
    <row r="2075">
      <c r="D2075" s="6"/>
      <c r="E2075" s="6"/>
    </row>
    <row r="2076">
      <c r="D2076" s="6"/>
      <c r="E2076" s="6"/>
    </row>
    <row r="2077">
      <c r="D2077" s="6"/>
      <c r="E2077" s="6"/>
    </row>
    <row r="2078">
      <c r="D2078" s="6"/>
      <c r="E2078" s="6"/>
    </row>
    <row r="2079">
      <c r="D2079" s="6"/>
      <c r="E2079" s="6"/>
    </row>
    <row r="2080">
      <c r="D2080" s="6"/>
      <c r="E2080" s="6"/>
    </row>
    <row r="2081">
      <c r="D2081" s="6"/>
      <c r="E2081" s="6"/>
    </row>
    <row r="2082">
      <c r="D2082" s="6"/>
      <c r="E2082" s="6"/>
    </row>
    <row r="2083">
      <c r="D2083" s="6"/>
      <c r="E2083" s="6"/>
    </row>
    <row r="2084">
      <c r="D2084" s="6"/>
      <c r="E2084" s="6"/>
    </row>
    <row r="2085">
      <c r="D2085" s="6"/>
      <c r="E2085" s="6"/>
    </row>
    <row r="2086">
      <c r="D2086" s="6"/>
      <c r="E2086" s="6"/>
    </row>
    <row r="2087">
      <c r="D2087" s="6"/>
      <c r="E2087" s="6"/>
    </row>
    <row r="2088">
      <c r="D2088" s="6"/>
      <c r="E2088" s="6"/>
    </row>
    <row r="2089">
      <c r="D2089" s="6"/>
      <c r="E2089" s="6"/>
    </row>
    <row r="2090">
      <c r="D2090" s="6"/>
      <c r="E2090" s="6"/>
    </row>
    <row r="2091">
      <c r="D2091" s="6"/>
      <c r="E2091" s="6"/>
    </row>
    <row r="2092">
      <c r="D2092" s="6"/>
      <c r="E2092" s="6"/>
    </row>
    <row r="2093">
      <c r="D2093" s="6"/>
      <c r="E2093" s="6"/>
    </row>
    <row r="2094">
      <c r="D2094" s="6"/>
      <c r="E2094" s="6"/>
    </row>
    <row r="2095">
      <c r="D2095" s="6"/>
      <c r="E2095" s="6"/>
    </row>
    <row r="2096">
      <c r="D2096" s="6"/>
      <c r="E2096" s="6"/>
    </row>
    <row r="2097">
      <c r="D2097" s="6"/>
      <c r="E2097" s="6"/>
    </row>
    <row r="2098">
      <c r="D2098" s="6"/>
      <c r="E2098" s="6"/>
    </row>
    <row r="2099">
      <c r="D2099" s="6"/>
      <c r="E2099" s="6"/>
    </row>
    <row r="2100">
      <c r="D2100" s="6"/>
      <c r="E2100" s="6"/>
    </row>
    <row r="2101">
      <c r="D2101" s="6"/>
      <c r="E2101" s="6"/>
    </row>
    <row r="2102">
      <c r="D2102" s="6"/>
      <c r="E2102" s="6"/>
    </row>
    <row r="2103">
      <c r="D2103" s="6"/>
      <c r="E2103" s="6"/>
    </row>
    <row r="2104">
      <c r="D2104" s="6"/>
      <c r="E2104" s="6"/>
    </row>
    <row r="2105">
      <c r="D2105" s="6"/>
      <c r="E2105" s="6"/>
    </row>
    <row r="2106">
      <c r="D2106" s="6"/>
      <c r="E2106" s="6"/>
    </row>
    <row r="2107">
      <c r="D2107" s="6"/>
      <c r="E2107" s="6"/>
    </row>
    <row r="2108">
      <c r="D2108" s="6"/>
      <c r="E2108" s="6"/>
    </row>
    <row r="2109">
      <c r="D2109" s="6"/>
      <c r="E2109" s="6"/>
    </row>
    <row r="2110">
      <c r="D2110" s="6"/>
      <c r="E2110" s="6"/>
    </row>
    <row r="2111">
      <c r="D2111" s="6"/>
      <c r="E2111" s="6"/>
    </row>
    <row r="2112">
      <c r="D2112" s="6"/>
      <c r="E2112" s="6"/>
    </row>
    <row r="2113">
      <c r="D2113" s="6"/>
      <c r="E2113" s="6"/>
    </row>
    <row r="2114">
      <c r="D2114" s="6"/>
      <c r="E2114" s="6"/>
    </row>
    <row r="2115">
      <c r="D2115" s="6"/>
      <c r="E2115" s="6"/>
    </row>
    <row r="2116">
      <c r="D2116" s="6"/>
      <c r="E2116" s="6"/>
    </row>
    <row r="2117">
      <c r="D2117" s="6"/>
      <c r="E2117" s="6"/>
    </row>
    <row r="2118">
      <c r="D2118" s="6"/>
      <c r="E2118" s="6"/>
    </row>
    <row r="2119">
      <c r="D2119" s="6"/>
      <c r="E2119" s="6"/>
    </row>
    <row r="2120">
      <c r="D2120" s="6"/>
      <c r="E2120" s="6"/>
    </row>
    <row r="2121">
      <c r="D2121" s="6"/>
      <c r="E2121" s="6"/>
    </row>
    <row r="2122">
      <c r="D2122" s="6"/>
      <c r="E2122" s="6"/>
    </row>
    <row r="2123">
      <c r="D2123" s="6"/>
      <c r="E2123" s="6"/>
    </row>
    <row r="2124">
      <c r="D2124" s="6"/>
      <c r="E2124" s="6"/>
    </row>
    <row r="2125">
      <c r="D2125" s="6"/>
      <c r="E2125" s="6"/>
    </row>
    <row r="2126">
      <c r="D2126" s="6"/>
      <c r="E2126" s="6"/>
    </row>
    <row r="2127">
      <c r="D2127" s="6"/>
      <c r="E2127" s="6"/>
    </row>
    <row r="2128">
      <c r="D2128" s="6"/>
      <c r="E2128" s="6"/>
    </row>
    <row r="2129">
      <c r="D2129" s="6"/>
      <c r="E2129" s="6"/>
    </row>
    <row r="2130">
      <c r="D2130" s="6"/>
      <c r="E2130" s="6"/>
    </row>
    <row r="2131">
      <c r="D2131" s="6"/>
      <c r="E2131" s="6"/>
    </row>
    <row r="2132">
      <c r="D2132" s="6"/>
      <c r="E2132" s="6"/>
    </row>
    <row r="2133">
      <c r="D2133" s="6"/>
      <c r="E2133" s="6"/>
    </row>
    <row r="2134">
      <c r="D2134" s="6"/>
      <c r="E2134" s="6"/>
    </row>
    <row r="2135">
      <c r="D2135" s="6"/>
      <c r="E2135" s="6"/>
    </row>
    <row r="2136">
      <c r="D2136" s="6"/>
      <c r="E2136" s="6"/>
    </row>
    <row r="2137">
      <c r="D2137" s="6"/>
      <c r="E2137" s="6"/>
    </row>
    <row r="2138">
      <c r="D2138" s="6"/>
      <c r="E2138" s="6"/>
    </row>
    <row r="2139">
      <c r="D2139" s="6"/>
      <c r="E2139" s="6"/>
    </row>
    <row r="2140">
      <c r="D2140" s="6"/>
      <c r="E2140" s="6"/>
    </row>
    <row r="2141">
      <c r="D2141" s="6"/>
      <c r="E2141" s="6"/>
    </row>
    <row r="2142">
      <c r="D2142" s="6"/>
      <c r="E2142" s="6"/>
    </row>
    <row r="2143">
      <c r="D2143" s="6"/>
      <c r="E2143" s="6"/>
    </row>
    <row r="2144">
      <c r="D2144" s="6"/>
      <c r="E2144" s="6"/>
    </row>
    <row r="2145">
      <c r="D2145" s="6"/>
      <c r="E2145" s="6"/>
    </row>
    <row r="2146">
      <c r="D2146" s="6"/>
      <c r="E2146" s="6"/>
    </row>
    <row r="2147">
      <c r="D2147" s="6"/>
      <c r="E2147" s="6"/>
    </row>
    <row r="2148">
      <c r="D2148" s="6"/>
      <c r="E2148" s="6"/>
    </row>
    <row r="2149">
      <c r="D2149" s="6"/>
      <c r="E2149" s="6"/>
    </row>
    <row r="2150">
      <c r="D2150" s="6"/>
      <c r="E2150" s="6"/>
    </row>
    <row r="2151">
      <c r="D2151" s="6"/>
      <c r="E2151" s="6"/>
    </row>
    <row r="2152">
      <c r="D2152" s="6"/>
      <c r="E2152" s="6"/>
    </row>
    <row r="2153">
      <c r="D2153" s="6"/>
      <c r="E2153" s="6"/>
    </row>
    <row r="2154">
      <c r="D2154" s="6"/>
      <c r="E2154" s="6"/>
    </row>
    <row r="2155">
      <c r="D2155" s="6"/>
      <c r="E2155" s="6"/>
    </row>
    <row r="2156">
      <c r="D2156" s="6"/>
      <c r="E2156" s="6"/>
    </row>
    <row r="2157">
      <c r="D2157" s="6"/>
      <c r="E2157" s="6"/>
    </row>
    <row r="2158">
      <c r="D2158" s="6"/>
      <c r="E2158" s="6"/>
    </row>
    <row r="2159">
      <c r="D2159" s="6"/>
      <c r="E2159" s="6"/>
    </row>
    <row r="2160">
      <c r="D2160" s="6"/>
      <c r="E2160" s="6"/>
    </row>
    <row r="2161">
      <c r="D2161" s="6"/>
      <c r="E2161" s="6"/>
    </row>
    <row r="2162">
      <c r="D2162" s="6"/>
      <c r="E2162" s="6"/>
    </row>
    <row r="2163">
      <c r="D2163" s="6"/>
      <c r="E2163" s="6"/>
    </row>
    <row r="2164">
      <c r="D2164" s="6"/>
      <c r="E2164" s="6"/>
    </row>
    <row r="2165">
      <c r="D2165" s="6"/>
      <c r="E2165" s="6"/>
    </row>
    <row r="2166">
      <c r="D2166" s="6"/>
      <c r="E2166" s="6"/>
    </row>
    <row r="2167">
      <c r="D2167" s="6"/>
      <c r="E2167" s="6"/>
    </row>
    <row r="2168">
      <c r="D2168" s="6"/>
      <c r="E2168" s="6"/>
    </row>
    <row r="2169">
      <c r="D2169" s="6"/>
      <c r="E2169" s="6"/>
    </row>
    <row r="2170">
      <c r="D2170" s="6"/>
      <c r="E2170" s="6"/>
    </row>
    <row r="2171">
      <c r="D2171" s="6"/>
      <c r="E2171" s="6"/>
    </row>
    <row r="2172">
      <c r="D2172" s="6"/>
      <c r="E2172" s="6"/>
    </row>
    <row r="2173">
      <c r="D2173" s="6"/>
      <c r="E2173" s="6"/>
    </row>
    <row r="2174">
      <c r="D2174" s="6"/>
      <c r="E2174" s="6"/>
    </row>
    <row r="2175">
      <c r="D2175" s="6"/>
      <c r="E2175" s="6"/>
    </row>
    <row r="2176">
      <c r="D2176" s="6"/>
      <c r="E2176" s="6"/>
    </row>
    <row r="2177">
      <c r="D2177" s="6"/>
      <c r="E2177" s="6"/>
    </row>
    <row r="2178">
      <c r="D2178" s="6"/>
      <c r="E2178" s="6"/>
    </row>
    <row r="2179">
      <c r="D2179" s="6"/>
      <c r="E2179" s="6"/>
    </row>
    <row r="2180">
      <c r="D2180" s="6"/>
      <c r="E2180" s="6"/>
    </row>
    <row r="2181">
      <c r="D2181" s="6"/>
      <c r="E2181" s="6"/>
    </row>
    <row r="2182">
      <c r="D2182" s="6"/>
      <c r="E2182" s="6"/>
    </row>
    <row r="2183">
      <c r="D2183" s="6"/>
      <c r="E2183" s="6"/>
    </row>
    <row r="2184">
      <c r="D2184" s="6"/>
      <c r="E2184" s="6"/>
    </row>
    <row r="2185">
      <c r="D2185" s="6"/>
      <c r="E2185" s="6"/>
    </row>
    <row r="2186">
      <c r="D2186" s="6"/>
      <c r="E2186" s="6"/>
    </row>
    <row r="2187">
      <c r="D2187" s="6"/>
      <c r="E2187" s="6"/>
    </row>
    <row r="2188">
      <c r="D2188" s="6"/>
      <c r="E2188" s="6"/>
    </row>
    <row r="2189">
      <c r="D2189" s="6"/>
      <c r="E2189" s="6"/>
    </row>
    <row r="2190">
      <c r="D2190" s="6"/>
      <c r="E2190" s="6"/>
    </row>
    <row r="2191">
      <c r="D2191" s="6"/>
      <c r="E2191" s="6"/>
    </row>
    <row r="2192">
      <c r="D2192" s="6"/>
      <c r="E2192" s="6"/>
    </row>
    <row r="2193">
      <c r="D2193" s="6"/>
      <c r="E2193" s="6"/>
    </row>
    <row r="2194">
      <c r="D2194" s="6"/>
      <c r="E2194" s="6"/>
    </row>
    <row r="2195">
      <c r="D2195" s="6"/>
      <c r="E2195" s="6"/>
    </row>
    <row r="2196">
      <c r="D2196" s="6"/>
      <c r="E2196" s="6"/>
    </row>
    <row r="2197">
      <c r="D2197" s="6"/>
      <c r="E2197" s="6"/>
    </row>
    <row r="2198">
      <c r="D2198" s="6"/>
      <c r="E2198" s="6"/>
    </row>
    <row r="2199">
      <c r="D2199" s="6"/>
      <c r="E2199" s="6"/>
    </row>
    <row r="2200">
      <c r="D2200" s="6"/>
      <c r="E2200" s="6"/>
    </row>
    <row r="2201">
      <c r="D2201" s="6"/>
      <c r="E2201" s="6"/>
    </row>
    <row r="2202">
      <c r="D2202" s="6"/>
      <c r="E2202" s="6"/>
    </row>
    <row r="2203">
      <c r="D2203" s="6"/>
      <c r="E2203" s="6"/>
    </row>
    <row r="2204">
      <c r="D2204" s="6"/>
      <c r="E2204" s="6"/>
    </row>
    <row r="2205">
      <c r="D2205" s="6"/>
      <c r="E2205" s="6"/>
    </row>
    <row r="2206">
      <c r="D2206" s="6"/>
      <c r="E2206" s="6"/>
    </row>
    <row r="2207">
      <c r="D2207" s="6"/>
      <c r="E2207" s="6"/>
    </row>
    <row r="2208">
      <c r="D2208" s="6"/>
      <c r="E2208" s="6"/>
    </row>
    <row r="2209">
      <c r="D2209" s="6"/>
      <c r="E2209" s="6"/>
    </row>
    <row r="2210">
      <c r="D2210" s="6"/>
      <c r="E2210" s="6"/>
    </row>
    <row r="2211">
      <c r="D2211" s="6"/>
      <c r="E2211" s="6"/>
    </row>
    <row r="2212">
      <c r="D2212" s="6"/>
      <c r="E2212" s="6"/>
    </row>
    <row r="2213">
      <c r="D2213" s="6"/>
      <c r="E2213" s="6"/>
    </row>
    <row r="2214">
      <c r="D2214" s="6"/>
      <c r="E2214" s="6"/>
    </row>
    <row r="2215">
      <c r="D2215" s="6"/>
      <c r="E2215" s="6"/>
    </row>
    <row r="2216">
      <c r="D2216" s="6"/>
      <c r="E2216" s="6"/>
    </row>
    <row r="2217">
      <c r="D2217" s="6"/>
      <c r="E2217" s="6"/>
    </row>
    <row r="2218">
      <c r="D2218" s="6"/>
      <c r="E2218" s="6"/>
    </row>
    <row r="2219">
      <c r="D2219" s="6"/>
      <c r="E2219" s="6"/>
    </row>
    <row r="2220">
      <c r="D2220" s="6"/>
      <c r="E2220" s="6"/>
    </row>
    <row r="2221">
      <c r="D2221" s="6"/>
      <c r="E2221" s="6"/>
    </row>
    <row r="2222">
      <c r="D2222" s="6"/>
      <c r="E2222" s="6"/>
    </row>
    <row r="2223">
      <c r="D2223" s="6"/>
      <c r="E2223" s="6"/>
    </row>
    <row r="2224">
      <c r="D2224" s="6"/>
      <c r="E2224" s="6"/>
    </row>
    <row r="2225">
      <c r="D2225" s="6"/>
      <c r="E2225" s="6"/>
    </row>
    <row r="2226">
      <c r="D2226" s="6"/>
      <c r="E2226" s="6"/>
    </row>
    <row r="2227">
      <c r="D2227" s="6"/>
      <c r="E2227" s="6"/>
    </row>
    <row r="2228">
      <c r="D2228" s="6"/>
      <c r="E2228" s="6"/>
    </row>
    <row r="2229">
      <c r="D2229" s="6"/>
      <c r="E2229" s="6"/>
    </row>
    <row r="2230">
      <c r="D2230" s="6"/>
      <c r="E2230" s="6"/>
    </row>
    <row r="2231">
      <c r="D2231" s="6"/>
      <c r="E2231" s="6"/>
    </row>
    <row r="2232">
      <c r="D2232" s="6"/>
      <c r="E2232" s="6"/>
    </row>
    <row r="2233">
      <c r="D2233" s="6"/>
      <c r="E2233" s="6"/>
    </row>
    <row r="2234">
      <c r="D2234" s="6"/>
      <c r="E2234" s="6"/>
    </row>
    <row r="2235">
      <c r="D2235" s="6"/>
      <c r="E2235" s="6"/>
    </row>
    <row r="2236">
      <c r="D2236" s="6"/>
      <c r="E2236" s="6"/>
    </row>
    <row r="2237">
      <c r="D2237" s="6"/>
      <c r="E2237" s="6"/>
    </row>
    <row r="2238">
      <c r="D2238" s="6"/>
      <c r="E2238" s="6"/>
    </row>
    <row r="2239">
      <c r="D2239" s="6"/>
      <c r="E2239" s="6"/>
    </row>
    <row r="2240">
      <c r="D2240" s="6"/>
      <c r="E2240" s="6"/>
    </row>
    <row r="2241">
      <c r="D2241" s="6"/>
      <c r="E2241" s="6"/>
    </row>
    <row r="2242">
      <c r="D2242" s="6"/>
      <c r="E2242" s="6"/>
    </row>
    <row r="2243">
      <c r="D2243" s="6"/>
      <c r="E2243" s="6"/>
    </row>
    <row r="2244">
      <c r="D2244" s="6"/>
      <c r="E2244" s="6"/>
    </row>
    <row r="2245">
      <c r="D2245" s="6"/>
      <c r="E2245" s="6"/>
    </row>
    <row r="2246">
      <c r="D2246" s="6"/>
      <c r="E2246" s="6"/>
    </row>
    <row r="2247">
      <c r="D2247" s="6"/>
      <c r="E2247" s="6"/>
    </row>
    <row r="2248">
      <c r="D2248" s="6"/>
      <c r="E2248" s="6"/>
    </row>
    <row r="2249">
      <c r="D2249" s="6"/>
      <c r="E2249" s="6"/>
    </row>
    <row r="2250">
      <c r="D2250" s="6"/>
      <c r="E2250" s="6"/>
    </row>
    <row r="2251">
      <c r="D2251" s="6"/>
      <c r="E2251" s="6"/>
    </row>
    <row r="2252">
      <c r="D2252" s="6"/>
      <c r="E2252" s="6"/>
    </row>
    <row r="2253">
      <c r="D2253" s="6"/>
      <c r="E2253" s="6"/>
    </row>
    <row r="2254">
      <c r="D2254" s="6"/>
      <c r="E2254" s="6"/>
    </row>
    <row r="2255">
      <c r="D2255" s="6"/>
      <c r="E2255" s="6"/>
    </row>
    <row r="2256">
      <c r="D2256" s="6"/>
      <c r="E2256" s="6"/>
    </row>
    <row r="2257">
      <c r="D2257" s="6"/>
      <c r="E2257" s="6"/>
    </row>
    <row r="2258">
      <c r="D2258" s="6"/>
      <c r="E2258" s="6"/>
    </row>
    <row r="2259">
      <c r="D2259" s="6"/>
      <c r="E2259" s="6"/>
    </row>
    <row r="2260">
      <c r="D2260" s="6"/>
      <c r="E2260" s="6"/>
    </row>
    <row r="2261">
      <c r="D2261" s="6"/>
      <c r="E2261" s="6"/>
    </row>
    <row r="2262">
      <c r="D2262" s="6"/>
      <c r="E2262" s="6"/>
    </row>
    <row r="2263">
      <c r="D2263" s="6"/>
      <c r="E2263" s="6"/>
    </row>
    <row r="2264">
      <c r="D2264" s="6"/>
      <c r="E2264" s="6"/>
    </row>
    <row r="2265">
      <c r="D2265" s="6"/>
      <c r="E2265" s="6"/>
    </row>
    <row r="2266">
      <c r="D2266" s="6"/>
      <c r="E2266" s="6"/>
    </row>
    <row r="2267">
      <c r="D2267" s="6"/>
      <c r="E2267" s="6"/>
    </row>
    <row r="2268">
      <c r="D2268" s="6"/>
      <c r="E2268" s="6"/>
    </row>
    <row r="2269">
      <c r="D2269" s="6"/>
      <c r="E2269" s="6"/>
    </row>
    <row r="2270">
      <c r="D2270" s="6"/>
      <c r="E2270" s="6"/>
    </row>
    <row r="2271">
      <c r="D2271" s="6"/>
      <c r="E2271" s="6"/>
    </row>
    <row r="2272">
      <c r="D2272" s="6"/>
      <c r="E2272" s="6"/>
    </row>
    <row r="2273">
      <c r="D2273" s="6"/>
      <c r="E2273" s="6"/>
    </row>
    <row r="2274">
      <c r="D2274" s="6"/>
      <c r="E2274" s="6"/>
    </row>
    <row r="2275">
      <c r="D2275" s="6"/>
      <c r="E2275" s="6"/>
    </row>
    <row r="2276">
      <c r="D2276" s="6"/>
      <c r="E2276" s="6"/>
    </row>
    <row r="2277">
      <c r="D2277" s="6"/>
      <c r="E2277" s="6"/>
    </row>
    <row r="2278">
      <c r="D2278" s="6"/>
      <c r="E2278" s="6"/>
    </row>
    <row r="2279">
      <c r="D2279" s="6"/>
      <c r="E2279" s="6"/>
    </row>
    <row r="2280">
      <c r="D2280" s="6"/>
      <c r="E2280" s="6"/>
    </row>
    <row r="2281">
      <c r="D2281" s="6"/>
      <c r="E2281" s="6"/>
    </row>
    <row r="2282">
      <c r="D2282" s="6"/>
      <c r="E2282" s="6"/>
    </row>
    <row r="2283">
      <c r="D2283" s="6"/>
      <c r="E2283" s="6"/>
    </row>
    <row r="2284">
      <c r="D2284" s="6"/>
      <c r="E2284" s="6"/>
    </row>
    <row r="2285">
      <c r="D2285" s="6"/>
      <c r="E2285" s="6"/>
    </row>
    <row r="2286">
      <c r="D2286" s="6"/>
      <c r="E2286" s="6"/>
    </row>
    <row r="2287">
      <c r="D2287" s="6"/>
      <c r="E2287" s="6"/>
    </row>
    <row r="2288">
      <c r="D2288" s="6"/>
      <c r="E2288" s="6"/>
    </row>
    <row r="2289">
      <c r="D2289" s="6"/>
      <c r="E2289" s="6"/>
    </row>
    <row r="2290">
      <c r="D2290" s="6"/>
      <c r="E2290" s="6"/>
    </row>
    <row r="2291">
      <c r="D2291" s="6"/>
      <c r="E2291" s="6"/>
    </row>
    <row r="2292">
      <c r="D2292" s="6"/>
      <c r="E2292" s="6"/>
    </row>
    <row r="2293">
      <c r="D2293" s="6"/>
      <c r="E2293" s="6"/>
    </row>
    <row r="2294">
      <c r="D2294" s="6"/>
      <c r="E2294" s="6"/>
    </row>
    <row r="2295">
      <c r="D2295" s="6"/>
      <c r="E2295" s="6"/>
    </row>
    <row r="2296">
      <c r="D2296" s="6"/>
      <c r="E2296" s="6"/>
    </row>
    <row r="2297">
      <c r="D2297" s="6"/>
      <c r="E2297" s="6"/>
    </row>
    <row r="2298">
      <c r="D2298" s="6"/>
      <c r="E2298" s="6"/>
    </row>
    <row r="2299">
      <c r="D2299" s="6"/>
      <c r="E2299" s="6"/>
    </row>
    <row r="2300">
      <c r="D2300" s="6"/>
      <c r="E2300" s="6"/>
    </row>
    <row r="2301">
      <c r="D2301" s="6"/>
      <c r="E2301" s="6"/>
    </row>
    <row r="2302">
      <c r="D2302" s="6"/>
      <c r="E2302" s="6"/>
    </row>
    <row r="2303">
      <c r="D2303" s="6"/>
      <c r="E2303" s="6"/>
    </row>
    <row r="2304">
      <c r="D2304" s="6"/>
      <c r="E2304" s="6"/>
    </row>
    <row r="2305">
      <c r="D2305" s="6"/>
      <c r="E2305" s="6"/>
    </row>
    <row r="2306">
      <c r="D2306" s="6"/>
      <c r="E2306" s="6"/>
    </row>
    <row r="2307">
      <c r="D2307" s="6"/>
      <c r="E2307" s="6"/>
    </row>
    <row r="2308">
      <c r="D2308" s="6"/>
      <c r="E2308" s="6"/>
    </row>
    <row r="2309">
      <c r="D2309" s="6"/>
      <c r="E2309" s="6"/>
    </row>
    <row r="2310">
      <c r="D2310" s="6"/>
      <c r="E2310" s="6"/>
    </row>
    <row r="2311">
      <c r="D2311" s="6"/>
      <c r="E2311" s="6"/>
    </row>
    <row r="2312">
      <c r="D2312" s="6"/>
      <c r="E2312" s="6"/>
    </row>
    <row r="2313">
      <c r="D2313" s="6"/>
      <c r="E2313" s="6"/>
    </row>
    <row r="2314">
      <c r="D2314" s="6"/>
      <c r="E2314" s="6"/>
    </row>
    <row r="2315">
      <c r="D2315" s="6"/>
      <c r="E2315" s="6"/>
    </row>
    <row r="2316">
      <c r="D2316" s="6"/>
      <c r="E2316" s="6"/>
    </row>
    <row r="2317">
      <c r="D2317" s="6"/>
      <c r="E2317" s="6"/>
    </row>
    <row r="2318">
      <c r="D2318" s="6"/>
      <c r="E2318" s="6"/>
    </row>
    <row r="2319">
      <c r="D2319" s="6"/>
      <c r="E2319" s="6"/>
    </row>
    <row r="2320">
      <c r="D2320" s="6"/>
      <c r="E2320" s="6"/>
    </row>
    <row r="2321">
      <c r="D2321" s="6"/>
      <c r="E2321" s="6"/>
    </row>
    <row r="2322">
      <c r="D2322" s="6"/>
      <c r="E2322" s="6"/>
    </row>
    <row r="2323">
      <c r="D2323" s="6"/>
      <c r="E2323" s="6"/>
    </row>
    <row r="2324">
      <c r="D2324" s="6"/>
      <c r="E2324" s="6"/>
    </row>
    <row r="2325">
      <c r="D2325" s="6"/>
      <c r="E2325" s="6"/>
    </row>
    <row r="2326">
      <c r="D2326" s="6"/>
      <c r="E2326" s="6"/>
    </row>
    <row r="2327">
      <c r="D2327" s="6"/>
      <c r="E2327" s="6"/>
    </row>
    <row r="2328">
      <c r="D2328" s="6"/>
      <c r="E2328" s="6"/>
    </row>
    <row r="2329">
      <c r="D2329" s="6"/>
      <c r="E2329" s="6"/>
    </row>
    <row r="2330">
      <c r="D2330" s="6"/>
      <c r="E2330" s="6"/>
    </row>
    <row r="2331">
      <c r="D2331" s="6"/>
      <c r="E2331" s="6"/>
    </row>
    <row r="2332">
      <c r="D2332" s="6"/>
      <c r="E2332" s="6"/>
    </row>
    <row r="2333">
      <c r="D2333" s="6"/>
      <c r="E2333" s="6"/>
    </row>
    <row r="2334">
      <c r="D2334" s="6"/>
      <c r="E2334" s="6"/>
    </row>
    <row r="2335">
      <c r="D2335" s="6"/>
      <c r="E2335" s="6"/>
    </row>
    <row r="2336">
      <c r="D2336" s="6"/>
      <c r="E2336" s="6"/>
    </row>
    <row r="2337">
      <c r="D2337" s="6"/>
      <c r="E2337" s="6"/>
    </row>
    <row r="2338">
      <c r="D2338" s="6"/>
      <c r="E2338" s="6"/>
    </row>
    <row r="2339">
      <c r="D2339" s="6"/>
      <c r="E2339" s="6"/>
    </row>
    <row r="2340">
      <c r="D2340" s="6"/>
      <c r="E2340" s="6"/>
    </row>
    <row r="2341">
      <c r="D2341" s="6"/>
      <c r="E2341" s="6"/>
    </row>
    <row r="2342">
      <c r="D2342" s="6"/>
      <c r="E2342" s="6"/>
    </row>
    <row r="2343">
      <c r="D2343" s="6"/>
      <c r="E2343" s="6"/>
    </row>
    <row r="2344">
      <c r="D2344" s="6"/>
      <c r="E2344" s="6"/>
    </row>
    <row r="2345">
      <c r="D2345" s="6"/>
      <c r="E2345" s="6"/>
    </row>
    <row r="2346">
      <c r="D2346" s="6"/>
      <c r="E2346" s="6"/>
    </row>
    <row r="2347">
      <c r="D2347" s="6"/>
      <c r="E2347" s="6"/>
    </row>
    <row r="2348">
      <c r="D2348" s="6"/>
      <c r="E2348" s="6"/>
    </row>
    <row r="2349">
      <c r="D2349" s="6"/>
      <c r="E2349" s="6"/>
    </row>
    <row r="2350">
      <c r="D2350" s="6"/>
      <c r="E2350" s="6"/>
    </row>
    <row r="2351">
      <c r="D2351" s="6"/>
      <c r="E2351" s="6"/>
    </row>
    <row r="2352">
      <c r="D2352" s="6"/>
      <c r="E2352" s="6"/>
    </row>
    <row r="2353">
      <c r="D2353" s="6"/>
      <c r="E2353" s="6"/>
    </row>
    <row r="2354">
      <c r="D2354" s="6"/>
      <c r="E2354" s="6"/>
    </row>
    <row r="2355">
      <c r="D2355" s="6"/>
      <c r="E2355" s="6"/>
    </row>
    <row r="2356">
      <c r="D2356" s="6"/>
      <c r="E2356" s="6"/>
    </row>
    <row r="2357">
      <c r="D2357" s="6"/>
      <c r="E2357" s="6"/>
    </row>
    <row r="2358">
      <c r="D2358" s="6"/>
      <c r="E2358" s="6"/>
    </row>
    <row r="2359">
      <c r="D2359" s="6"/>
      <c r="E2359" s="6"/>
    </row>
    <row r="2360">
      <c r="D2360" s="6"/>
      <c r="E2360" s="6"/>
    </row>
    <row r="2361">
      <c r="D2361" s="6"/>
      <c r="E2361" s="6"/>
    </row>
    <row r="2362">
      <c r="D2362" s="6"/>
      <c r="E2362" s="6"/>
    </row>
    <row r="2363">
      <c r="D2363" s="6"/>
      <c r="E2363" s="6"/>
    </row>
    <row r="2364">
      <c r="D2364" s="6"/>
      <c r="E2364" s="6"/>
    </row>
    <row r="2365">
      <c r="D2365" s="6"/>
      <c r="E2365" s="6"/>
    </row>
    <row r="2366">
      <c r="D2366" s="6"/>
      <c r="E2366" s="6"/>
    </row>
    <row r="2367">
      <c r="D2367" s="6"/>
      <c r="E2367" s="6"/>
    </row>
    <row r="2368">
      <c r="D2368" s="6"/>
      <c r="E2368" s="6"/>
    </row>
    <row r="2369">
      <c r="D2369" s="6"/>
      <c r="E2369" s="6"/>
    </row>
    <row r="2370">
      <c r="D2370" s="6"/>
      <c r="E2370" s="6"/>
    </row>
    <row r="2371">
      <c r="D2371" s="6"/>
      <c r="E2371" s="6"/>
    </row>
    <row r="2372">
      <c r="D2372" s="6"/>
      <c r="E2372" s="6"/>
    </row>
    <row r="2373">
      <c r="D2373" s="6"/>
      <c r="E2373" s="6"/>
    </row>
    <row r="2374">
      <c r="D2374" s="6"/>
      <c r="E2374" s="6"/>
    </row>
    <row r="2375">
      <c r="D2375" s="6"/>
      <c r="E2375" s="6"/>
    </row>
    <row r="2376">
      <c r="D2376" s="6"/>
      <c r="E2376" s="6"/>
    </row>
    <row r="2377">
      <c r="D2377" s="6"/>
      <c r="E2377" s="6"/>
    </row>
    <row r="2378">
      <c r="D2378" s="6"/>
      <c r="E2378" s="6"/>
    </row>
    <row r="2379">
      <c r="D2379" s="6"/>
      <c r="E2379" s="6"/>
    </row>
    <row r="2380">
      <c r="D2380" s="6"/>
      <c r="E2380" s="6"/>
    </row>
    <row r="2381">
      <c r="D2381" s="6"/>
      <c r="E2381" s="6"/>
    </row>
    <row r="2382">
      <c r="D2382" s="6"/>
      <c r="E2382" s="6"/>
    </row>
    <row r="2383">
      <c r="D2383" s="6"/>
      <c r="E2383" s="6"/>
    </row>
    <row r="2384">
      <c r="D2384" s="6"/>
      <c r="E2384" s="6"/>
    </row>
    <row r="2385">
      <c r="D2385" s="6"/>
      <c r="E2385" s="6"/>
    </row>
    <row r="2386">
      <c r="D2386" s="6"/>
      <c r="E2386" s="6"/>
    </row>
    <row r="2387">
      <c r="D2387" s="6"/>
      <c r="E2387" s="6"/>
    </row>
    <row r="2388">
      <c r="D2388" s="6"/>
      <c r="E2388" s="6"/>
    </row>
    <row r="2389">
      <c r="D2389" s="6"/>
      <c r="E2389" s="6"/>
    </row>
    <row r="2390">
      <c r="D2390" s="6"/>
      <c r="E2390" s="6"/>
    </row>
    <row r="2391">
      <c r="D2391" s="6"/>
      <c r="E2391" s="6"/>
    </row>
    <row r="2392">
      <c r="D2392" s="6"/>
      <c r="E2392" s="6"/>
    </row>
    <row r="2393">
      <c r="D2393" s="6"/>
      <c r="E2393" s="6"/>
    </row>
    <row r="2394">
      <c r="D2394" s="6"/>
      <c r="E2394" s="6"/>
    </row>
    <row r="2395">
      <c r="D2395" s="6"/>
      <c r="E2395" s="6"/>
    </row>
    <row r="2396">
      <c r="D2396" s="6"/>
      <c r="E2396" s="6"/>
    </row>
    <row r="2397">
      <c r="D2397" s="6"/>
      <c r="E2397" s="6"/>
    </row>
    <row r="2398">
      <c r="D2398" s="6"/>
      <c r="E2398" s="6"/>
    </row>
    <row r="2399">
      <c r="D2399" s="6"/>
      <c r="E2399" s="6"/>
    </row>
    <row r="2400">
      <c r="D2400" s="6"/>
      <c r="E2400" s="6"/>
    </row>
    <row r="2401">
      <c r="D2401" s="6"/>
      <c r="E2401" s="6"/>
    </row>
    <row r="2402">
      <c r="D2402" s="6"/>
      <c r="E2402" s="6"/>
    </row>
    <row r="2403">
      <c r="D2403" s="6"/>
      <c r="E2403" s="6"/>
    </row>
    <row r="2404">
      <c r="D2404" s="6"/>
      <c r="E2404" s="6"/>
    </row>
    <row r="2405">
      <c r="D2405" s="6"/>
      <c r="E2405" s="6"/>
    </row>
    <row r="2406">
      <c r="D2406" s="6"/>
      <c r="E2406" s="6"/>
    </row>
    <row r="2407">
      <c r="D2407" s="6"/>
      <c r="E2407" s="6"/>
    </row>
    <row r="2408">
      <c r="D2408" s="6"/>
      <c r="E2408" s="6"/>
    </row>
    <row r="2409">
      <c r="D2409" s="6"/>
      <c r="E2409" s="6"/>
    </row>
    <row r="2410">
      <c r="D2410" s="6"/>
      <c r="E2410" s="6"/>
    </row>
    <row r="2411">
      <c r="D2411" s="6"/>
      <c r="E2411" s="6"/>
    </row>
    <row r="2412">
      <c r="D2412" s="6"/>
      <c r="E2412" s="6"/>
    </row>
    <row r="2413">
      <c r="D2413" s="6"/>
      <c r="E2413" s="6"/>
    </row>
    <row r="2414">
      <c r="D2414" s="6"/>
      <c r="E2414" s="6"/>
    </row>
    <row r="2415">
      <c r="D2415" s="6"/>
      <c r="E2415" s="6"/>
    </row>
    <row r="2416">
      <c r="D2416" s="6"/>
      <c r="E2416" s="6"/>
    </row>
    <row r="2417">
      <c r="D2417" s="6"/>
      <c r="E2417" s="6"/>
    </row>
    <row r="2418">
      <c r="D2418" s="6"/>
      <c r="E2418" s="6"/>
    </row>
    <row r="2419">
      <c r="D2419" s="6"/>
      <c r="E2419" s="6"/>
    </row>
    <row r="2420">
      <c r="D2420" s="6"/>
      <c r="E2420" s="6"/>
    </row>
    <row r="2421">
      <c r="D2421" s="6"/>
      <c r="E2421" s="6"/>
    </row>
    <row r="2422">
      <c r="D2422" s="6"/>
      <c r="E2422" s="6"/>
    </row>
    <row r="2423">
      <c r="D2423" s="6"/>
      <c r="E2423" s="6"/>
    </row>
    <row r="2424">
      <c r="D2424" s="6"/>
      <c r="E2424" s="6"/>
    </row>
    <row r="2425">
      <c r="D2425" s="6"/>
      <c r="E2425" s="6"/>
    </row>
    <row r="2426">
      <c r="D2426" s="6"/>
      <c r="E2426" s="6"/>
    </row>
    <row r="2427">
      <c r="D2427" s="6"/>
      <c r="E2427" s="6"/>
    </row>
    <row r="2428">
      <c r="D2428" s="6"/>
      <c r="E2428" s="6"/>
    </row>
    <row r="2429">
      <c r="D2429" s="6"/>
      <c r="E2429" s="6"/>
    </row>
    <row r="2430">
      <c r="D2430" s="6"/>
      <c r="E2430" s="6"/>
    </row>
    <row r="2431">
      <c r="D2431" s="6"/>
      <c r="E2431" s="6"/>
    </row>
    <row r="2432">
      <c r="D2432" s="6"/>
      <c r="E2432" s="6"/>
    </row>
    <row r="2433">
      <c r="D2433" s="6"/>
      <c r="E2433" s="6"/>
    </row>
    <row r="2434">
      <c r="D2434" s="6"/>
      <c r="E2434" s="6"/>
    </row>
    <row r="2435">
      <c r="D2435" s="6"/>
      <c r="E2435" s="6"/>
    </row>
    <row r="2436">
      <c r="D2436" s="6"/>
      <c r="E2436" s="6"/>
    </row>
    <row r="2437">
      <c r="D2437" s="6"/>
      <c r="E2437" s="6"/>
    </row>
    <row r="2438">
      <c r="D2438" s="6"/>
      <c r="E2438" s="6"/>
    </row>
    <row r="2439">
      <c r="D2439" s="6"/>
      <c r="E2439" s="6"/>
    </row>
    <row r="2440">
      <c r="D2440" s="6"/>
      <c r="E2440" s="6"/>
    </row>
    <row r="2441">
      <c r="D2441" s="6"/>
      <c r="E2441" s="6"/>
    </row>
    <row r="2442">
      <c r="D2442" s="6"/>
      <c r="E2442" s="6"/>
    </row>
    <row r="2443">
      <c r="D2443" s="6"/>
      <c r="E2443" s="6"/>
    </row>
    <row r="2444">
      <c r="D2444" s="6"/>
      <c r="E2444" s="6"/>
    </row>
    <row r="2445">
      <c r="D2445" s="6"/>
      <c r="E2445" s="6"/>
    </row>
    <row r="2446">
      <c r="D2446" s="6"/>
      <c r="E2446" s="6"/>
    </row>
    <row r="2447">
      <c r="D2447" s="6"/>
      <c r="E2447" s="6"/>
    </row>
    <row r="2448">
      <c r="D2448" s="6"/>
      <c r="E2448" s="6"/>
    </row>
    <row r="2449">
      <c r="D2449" s="6"/>
      <c r="E2449" s="6"/>
    </row>
    <row r="2450">
      <c r="D2450" s="6"/>
      <c r="E2450" s="6"/>
    </row>
    <row r="2451">
      <c r="D2451" s="6"/>
      <c r="E2451" s="6"/>
    </row>
    <row r="2452">
      <c r="D2452" s="6"/>
      <c r="E2452" s="6"/>
    </row>
    <row r="2453">
      <c r="D2453" s="6"/>
      <c r="E2453" s="6"/>
    </row>
    <row r="2454">
      <c r="D2454" s="6"/>
      <c r="E2454" s="6"/>
    </row>
    <row r="2455">
      <c r="D2455" s="6"/>
      <c r="E2455" s="6"/>
    </row>
    <row r="2456">
      <c r="D2456" s="6"/>
      <c r="E2456" s="6"/>
    </row>
    <row r="2457">
      <c r="D2457" s="6"/>
      <c r="E2457" s="6"/>
    </row>
    <row r="2458">
      <c r="D2458" s="6"/>
      <c r="E2458" s="6"/>
    </row>
    <row r="2459">
      <c r="D2459" s="6"/>
      <c r="E2459" s="6"/>
    </row>
    <row r="2460">
      <c r="D2460" s="6"/>
      <c r="E2460" s="6"/>
    </row>
    <row r="2461">
      <c r="D2461" s="6"/>
      <c r="E2461" s="6"/>
    </row>
    <row r="2462">
      <c r="D2462" s="6"/>
      <c r="E2462" s="6"/>
    </row>
    <row r="2463">
      <c r="D2463" s="6"/>
      <c r="E2463" s="6"/>
    </row>
    <row r="2464">
      <c r="D2464" s="6"/>
      <c r="E2464" s="6"/>
    </row>
    <row r="2465">
      <c r="D2465" s="6"/>
      <c r="E2465" s="6"/>
    </row>
    <row r="2466">
      <c r="D2466" s="6"/>
      <c r="E2466" s="6"/>
    </row>
    <row r="2467">
      <c r="D2467" s="6"/>
      <c r="E2467" s="6"/>
    </row>
    <row r="2468">
      <c r="D2468" s="6"/>
      <c r="E2468" s="6"/>
    </row>
    <row r="2469">
      <c r="D2469" s="6"/>
      <c r="E2469" s="6"/>
    </row>
    <row r="2470">
      <c r="D2470" s="6"/>
      <c r="E2470" s="6"/>
    </row>
    <row r="2471">
      <c r="D2471" s="6"/>
      <c r="E2471" s="6"/>
    </row>
    <row r="2472">
      <c r="D2472" s="6"/>
      <c r="E2472" s="6"/>
    </row>
    <row r="2473">
      <c r="D2473" s="6"/>
      <c r="E2473" s="6"/>
    </row>
    <row r="2474">
      <c r="D2474" s="6"/>
      <c r="E2474" s="6"/>
    </row>
    <row r="2475">
      <c r="D2475" s="6"/>
      <c r="E2475" s="6"/>
    </row>
    <row r="2476">
      <c r="D2476" s="6"/>
      <c r="E2476" s="6"/>
    </row>
    <row r="2477">
      <c r="D2477" s="6"/>
      <c r="E2477" s="6"/>
    </row>
    <row r="2478">
      <c r="D2478" s="6"/>
      <c r="E2478" s="6"/>
    </row>
    <row r="2479">
      <c r="D2479" s="6"/>
      <c r="E2479" s="6"/>
    </row>
    <row r="2480">
      <c r="D2480" s="6"/>
      <c r="E2480" s="6"/>
    </row>
    <row r="2481">
      <c r="D2481" s="6"/>
      <c r="E2481" s="6"/>
    </row>
    <row r="2482">
      <c r="D2482" s="6"/>
      <c r="E2482" s="6"/>
    </row>
    <row r="2483">
      <c r="D2483" s="6"/>
      <c r="E2483" s="6"/>
    </row>
    <row r="2484">
      <c r="D2484" s="6"/>
      <c r="E2484" s="6"/>
    </row>
    <row r="2485">
      <c r="D2485" s="6"/>
      <c r="E2485" s="6"/>
    </row>
    <row r="2486">
      <c r="D2486" s="6"/>
      <c r="E2486" s="6"/>
    </row>
    <row r="2487">
      <c r="D2487" s="6"/>
      <c r="E2487" s="6"/>
    </row>
    <row r="2488">
      <c r="D2488" s="6"/>
      <c r="E2488" s="6"/>
    </row>
    <row r="2489">
      <c r="D2489" s="6"/>
      <c r="E2489" s="6"/>
    </row>
    <row r="2490">
      <c r="D2490" s="6"/>
      <c r="E2490" s="6"/>
    </row>
    <row r="2491">
      <c r="D2491" s="6"/>
      <c r="E2491" s="6"/>
    </row>
    <row r="2492">
      <c r="D2492" s="6"/>
      <c r="E2492" s="6"/>
    </row>
    <row r="2493">
      <c r="D2493" s="6"/>
      <c r="E2493" s="6"/>
    </row>
    <row r="2494">
      <c r="D2494" s="6"/>
      <c r="E2494" s="6"/>
    </row>
    <row r="2495">
      <c r="D2495" s="6"/>
      <c r="E2495" s="6"/>
    </row>
    <row r="2496">
      <c r="D2496" s="6"/>
      <c r="E2496" s="6"/>
    </row>
    <row r="2497">
      <c r="D2497" s="6"/>
      <c r="E2497" s="6"/>
    </row>
    <row r="2498">
      <c r="D2498" s="6"/>
      <c r="E2498" s="6"/>
    </row>
    <row r="2499">
      <c r="D2499" s="6"/>
      <c r="E2499" s="6"/>
    </row>
    <row r="2500">
      <c r="D2500" s="6"/>
      <c r="E2500" s="6"/>
    </row>
    <row r="2501">
      <c r="D2501" s="6"/>
      <c r="E2501" s="6"/>
    </row>
    <row r="2502">
      <c r="D2502" s="6"/>
      <c r="E2502" s="6"/>
    </row>
    <row r="2503">
      <c r="D2503" s="6"/>
      <c r="E2503" s="6"/>
    </row>
    <row r="2504">
      <c r="D2504" s="6"/>
      <c r="E2504" s="6"/>
    </row>
    <row r="2505">
      <c r="D2505" s="6"/>
      <c r="E2505" s="6"/>
    </row>
    <row r="2506">
      <c r="D2506" s="6"/>
      <c r="E2506" s="6"/>
    </row>
    <row r="2507">
      <c r="D2507" s="6"/>
      <c r="E2507" s="6"/>
    </row>
    <row r="2508">
      <c r="D2508" s="6"/>
      <c r="E2508" s="6"/>
    </row>
    <row r="2509">
      <c r="D2509" s="6"/>
      <c r="E2509" s="6"/>
    </row>
    <row r="2510">
      <c r="D2510" s="6"/>
      <c r="E2510" s="6"/>
    </row>
    <row r="2511">
      <c r="D2511" s="6"/>
      <c r="E2511" s="6"/>
    </row>
    <row r="2512">
      <c r="D2512" s="6"/>
      <c r="E2512" s="6"/>
    </row>
    <row r="2513">
      <c r="D2513" s="6"/>
      <c r="E2513" s="6"/>
    </row>
    <row r="2514">
      <c r="D2514" s="6"/>
      <c r="E2514" s="6"/>
    </row>
    <row r="2515">
      <c r="D2515" s="6"/>
      <c r="E2515" s="6"/>
    </row>
    <row r="2516">
      <c r="D2516" s="6"/>
      <c r="E2516" s="6"/>
    </row>
    <row r="2517">
      <c r="D2517" s="6"/>
      <c r="E2517" s="6"/>
    </row>
    <row r="2518">
      <c r="D2518" s="6"/>
      <c r="E2518" s="6"/>
    </row>
    <row r="2519">
      <c r="D2519" s="6"/>
      <c r="E2519" s="6"/>
    </row>
    <row r="2520">
      <c r="D2520" s="6"/>
      <c r="E2520" s="6"/>
    </row>
    <row r="2521">
      <c r="D2521" s="6"/>
      <c r="E2521" s="6"/>
    </row>
    <row r="2522">
      <c r="D2522" s="6"/>
      <c r="E2522" s="6"/>
    </row>
    <row r="2523">
      <c r="D2523" s="6"/>
      <c r="E2523" s="6"/>
    </row>
    <row r="2524">
      <c r="D2524" s="6"/>
      <c r="E2524" s="6"/>
    </row>
    <row r="2525">
      <c r="D2525" s="6"/>
      <c r="E2525" s="6"/>
    </row>
    <row r="2526">
      <c r="D2526" s="6"/>
      <c r="E2526" s="6"/>
    </row>
    <row r="2527">
      <c r="D2527" s="6"/>
      <c r="E2527" s="6"/>
    </row>
    <row r="2528">
      <c r="D2528" s="6"/>
      <c r="E2528" s="6"/>
    </row>
    <row r="2529">
      <c r="D2529" s="6"/>
      <c r="E2529" s="6"/>
    </row>
    <row r="2530">
      <c r="D2530" s="6"/>
      <c r="E2530" s="6"/>
    </row>
    <row r="2531">
      <c r="D2531" s="6"/>
      <c r="E2531" s="6"/>
    </row>
    <row r="2532">
      <c r="D2532" s="6"/>
      <c r="E2532" s="6"/>
    </row>
    <row r="2533">
      <c r="D2533" s="6"/>
      <c r="E2533" s="6"/>
    </row>
    <row r="2534">
      <c r="D2534" s="6"/>
      <c r="E2534" s="6"/>
    </row>
    <row r="2535">
      <c r="D2535" s="6"/>
      <c r="E2535" s="6"/>
    </row>
    <row r="2536">
      <c r="D2536" s="6"/>
      <c r="E2536" s="6"/>
    </row>
    <row r="2537">
      <c r="D2537" s="6"/>
      <c r="E2537" s="6"/>
    </row>
    <row r="2538">
      <c r="D2538" s="6"/>
      <c r="E2538" s="6"/>
    </row>
    <row r="2539">
      <c r="D2539" s="6"/>
      <c r="E2539" s="6"/>
    </row>
    <row r="2540">
      <c r="D2540" s="6"/>
      <c r="E2540" s="6"/>
    </row>
    <row r="2541">
      <c r="D2541" s="6"/>
      <c r="E2541" s="6"/>
    </row>
    <row r="2542">
      <c r="D2542" s="6"/>
      <c r="E2542" s="6"/>
    </row>
    <row r="2543">
      <c r="D2543" s="6"/>
      <c r="E2543" s="6"/>
    </row>
    <row r="2544">
      <c r="D2544" s="6"/>
      <c r="E2544" s="6"/>
    </row>
    <row r="2545">
      <c r="D2545" s="6"/>
      <c r="E2545" s="6"/>
    </row>
    <row r="2546">
      <c r="D2546" s="6"/>
      <c r="E2546" s="6"/>
    </row>
    <row r="2547">
      <c r="D2547" s="6"/>
      <c r="E2547" s="6"/>
    </row>
    <row r="2548">
      <c r="D2548" s="6"/>
      <c r="E2548" s="6"/>
    </row>
    <row r="2549">
      <c r="D2549" s="6"/>
      <c r="E2549" s="6"/>
    </row>
    <row r="2550">
      <c r="D2550" s="6"/>
      <c r="E2550" s="6"/>
    </row>
    <row r="2551">
      <c r="D2551" s="6"/>
      <c r="E2551" s="6"/>
    </row>
    <row r="2552">
      <c r="D2552" s="6"/>
      <c r="E2552" s="6"/>
    </row>
    <row r="2553">
      <c r="D2553" s="6"/>
      <c r="E2553" s="6"/>
    </row>
    <row r="2554">
      <c r="D2554" s="6"/>
      <c r="E2554" s="6"/>
    </row>
    <row r="2555">
      <c r="D2555" s="6"/>
      <c r="E2555" s="6"/>
    </row>
    <row r="2556">
      <c r="D2556" s="6"/>
      <c r="E2556" s="6"/>
    </row>
    <row r="2557">
      <c r="D2557" s="6"/>
      <c r="E2557" s="6"/>
    </row>
    <row r="2558">
      <c r="D2558" s="6"/>
      <c r="E2558" s="6"/>
    </row>
    <row r="2559">
      <c r="D2559" s="6"/>
      <c r="E2559" s="6"/>
    </row>
    <row r="2560">
      <c r="D2560" s="6"/>
      <c r="E2560" s="6"/>
    </row>
    <row r="2561">
      <c r="D2561" s="6"/>
      <c r="E2561" s="6"/>
    </row>
    <row r="2562">
      <c r="D2562" s="6"/>
      <c r="E2562" s="6"/>
    </row>
    <row r="2563">
      <c r="D2563" s="6"/>
      <c r="E2563" s="6"/>
    </row>
    <row r="2564">
      <c r="D2564" s="6"/>
      <c r="E2564" s="6"/>
    </row>
    <row r="2565">
      <c r="D2565" s="6"/>
      <c r="E2565" s="6"/>
    </row>
    <row r="2566">
      <c r="D2566" s="6"/>
      <c r="E2566" s="6"/>
    </row>
    <row r="2567">
      <c r="D2567" s="6"/>
      <c r="E2567" s="6"/>
    </row>
    <row r="2568">
      <c r="D2568" s="6"/>
      <c r="E2568" s="6"/>
    </row>
    <row r="2569">
      <c r="D2569" s="6"/>
      <c r="E2569" s="6"/>
    </row>
    <row r="2570">
      <c r="D2570" s="6"/>
      <c r="E2570" s="6"/>
    </row>
    <row r="2571">
      <c r="D2571" s="6"/>
      <c r="E2571" s="6"/>
    </row>
    <row r="2572">
      <c r="D2572" s="6"/>
      <c r="E2572" s="6"/>
    </row>
    <row r="2573">
      <c r="D2573" s="6"/>
      <c r="E2573" s="6"/>
    </row>
    <row r="2574">
      <c r="D2574" s="6"/>
      <c r="E2574" s="6"/>
    </row>
    <row r="2575">
      <c r="D2575" s="6"/>
      <c r="E2575" s="6"/>
    </row>
    <row r="2576">
      <c r="D2576" s="6"/>
      <c r="E2576" s="6"/>
    </row>
    <row r="2577">
      <c r="D2577" s="6"/>
      <c r="E2577" s="6"/>
    </row>
    <row r="2578">
      <c r="D2578" s="6"/>
      <c r="E2578" s="6"/>
    </row>
    <row r="2579">
      <c r="D2579" s="6"/>
      <c r="E2579" s="6"/>
    </row>
    <row r="2580">
      <c r="D2580" s="6"/>
      <c r="E2580" s="6"/>
    </row>
    <row r="2581">
      <c r="D2581" s="6"/>
      <c r="E2581" s="6"/>
    </row>
    <row r="2582">
      <c r="D2582" s="6"/>
      <c r="E2582" s="6"/>
    </row>
    <row r="2583">
      <c r="D2583" s="6"/>
      <c r="E2583" s="6"/>
    </row>
    <row r="2584">
      <c r="D2584" s="6"/>
      <c r="E2584" s="6"/>
    </row>
    <row r="2585">
      <c r="D2585" s="6"/>
      <c r="E2585" s="6"/>
    </row>
    <row r="2586">
      <c r="D2586" s="6"/>
      <c r="E2586" s="6"/>
    </row>
    <row r="2587">
      <c r="D2587" s="6"/>
      <c r="E2587" s="6"/>
    </row>
    <row r="2588">
      <c r="D2588" s="6"/>
      <c r="E2588" s="6"/>
    </row>
    <row r="2589">
      <c r="D2589" s="6"/>
      <c r="E2589" s="6"/>
    </row>
    <row r="2590">
      <c r="D2590" s="6"/>
      <c r="E2590" s="6"/>
    </row>
    <row r="2591">
      <c r="D2591" s="6"/>
      <c r="E2591" s="6"/>
    </row>
    <row r="2592">
      <c r="D2592" s="6"/>
      <c r="E2592" s="6"/>
    </row>
    <row r="2593">
      <c r="D2593" s="6"/>
      <c r="E2593" s="6"/>
    </row>
    <row r="2594">
      <c r="D2594" s="6"/>
      <c r="E2594" s="6"/>
    </row>
    <row r="2595">
      <c r="D2595" s="6"/>
      <c r="E2595" s="6"/>
    </row>
    <row r="2596">
      <c r="D2596" s="6"/>
      <c r="E2596" s="6"/>
    </row>
    <row r="2597">
      <c r="D2597" s="6"/>
      <c r="E2597" s="6"/>
    </row>
    <row r="2598">
      <c r="D2598" s="6"/>
      <c r="E2598" s="6"/>
    </row>
    <row r="2599">
      <c r="D2599" s="6"/>
      <c r="E2599" s="6"/>
    </row>
    <row r="2600">
      <c r="D2600" s="6"/>
      <c r="E2600" s="6"/>
    </row>
    <row r="2601">
      <c r="D2601" s="6"/>
      <c r="E2601" s="6"/>
    </row>
    <row r="2602">
      <c r="D2602" s="6"/>
      <c r="E2602" s="6"/>
    </row>
    <row r="2603">
      <c r="D2603" s="6"/>
      <c r="E2603" s="6"/>
    </row>
    <row r="2604">
      <c r="D2604" s="6"/>
      <c r="E2604" s="6"/>
    </row>
    <row r="2605">
      <c r="D2605" s="6"/>
      <c r="E2605" s="6"/>
    </row>
    <row r="2606">
      <c r="D2606" s="6"/>
      <c r="E2606" s="6"/>
    </row>
    <row r="2607">
      <c r="D2607" s="6"/>
      <c r="E2607" s="6"/>
    </row>
    <row r="2608">
      <c r="D2608" s="6"/>
      <c r="E2608" s="6"/>
    </row>
    <row r="2609">
      <c r="D2609" s="6"/>
      <c r="E2609" s="6"/>
    </row>
    <row r="2610">
      <c r="D2610" s="6"/>
      <c r="E2610" s="6"/>
    </row>
    <row r="2611">
      <c r="D2611" s="6"/>
      <c r="E2611" s="6"/>
    </row>
    <row r="2612">
      <c r="D2612" s="6"/>
      <c r="E2612" s="6"/>
    </row>
    <row r="2613">
      <c r="D2613" s="6"/>
      <c r="E2613" s="6"/>
    </row>
    <row r="2614">
      <c r="D2614" s="6"/>
      <c r="E2614" s="6"/>
    </row>
    <row r="2615">
      <c r="D2615" s="6"/>
      <c r="E2615" s="6"/>
    </row>
    <row r="2616">
      <c r="D2616" s="6"/>
      <c r="E2616" s="6"/>
    </row>
    <row r="2617">
      <c r="D2617" s="6"/>
      <c r="E2617" s="6"/>
    </row>
    <row r="2618">
      <c r="D2618" s="6"/>
      <c r="E2618" s="6"/>
    </row>
    <row r="2619">
      <c r="D2619" s="6"/>
      <c r="E2619" s="6"/>
    </row>
    <row r="2620">
      <c r="D2620" s="6"/>
      <c r="E2620" s="6"/>
    </row>
    <row r="2621">
      <c r="D2621" s="6"/>
      <c r="E2621" s="6"/>
    </row>
    <row r="2622">
      <c r="D2622" s="6"/>
      <c r="E2622" s="6"/>
    </row>
    <row r="2623">
      <c r="D2623" s="6"/>
      <c r="E2623" s="6"/>
    </row>
    <row r="2624">
      <c r="D2624" s="6"/>
      <c r="E2624" s="6"/>
    </row>
    <row r="2625">
      <c r="D2625" s="6"/>
      <c r="E2625" s="6"/>
    </row>
    <row r="2626">
      <c r="D2626" s="6"/>
      <c r="E2626" s="6"/>
    </row>
    <row r="2627">
      <c r="D2627" s="6"/>
      <c r="E2627" s="6"/>
    </row>
    <row r="2628">
      <c r="D2628" s="6"/>
      <c r="E2628" s="6"/>
    </row>
    <row r="2629">
      <c r="D2629" s="6"/>
      <c r="E2629" s="6"/>
    </row>
    <row r="2630">
      <c r="D2630" s="6"/>
      <c r="E2630" s="6"/>
    </row>
    <row r="2631">
      <c r="D2631" s="6"/>
      <c r="E2631" s="6"/>
    </row>
    <row r="2632">
      <c r="D2632" s="6"/>
      <c r="E2632" s="6"/>
    </row>
    <row r="2633">
      <c r="D2633" s="6"/>
      <c r="E2633" s="6"/>
    </row>
    <row r="2634">
      <c r="D2634" s="6"/>
      <c r="E2634" s="6"/>
    </row>
    <row r="2635">
      <c r="D2635" s="6"/>
      <c r="E2635" s="6"/>
    </row>
    <row r="2636">
      <c r="D2636" s="6"/>
      <c r="E2636" s="6"/>
    </row>
    <row r="2637">
      <c r="D2637" s="6"/>
      <c r="E2637" s="6"/>
    </row>
    <row r="2638">
      <c r="D2638" s="6"/>
      <c r="E2638" s="6"/>
    </row>
    <row r="2639">
      <c r="D2639" s="6"/>
      <c r="E2639" s="6"/>
    </row>
    <row r="2640">
      <c r="D2640" s="6"/>
      <c r="E2640" s="6"/>
    </row>
    <row r="2641">
      <c r="D2641" s="6"/>
      <c r="E2641" s="6"/>
    </row>
    <row r="2642">
      <c r="D2642" s="6"/>
      <c r="E2642" s="6"/>
    </row>
    <row r="2643">
      <c r="D2643" s="6"/>
      <c r="E2643" s="6"/>
    </row>
    <row r="2644">
      <c r="D2644" s="6"/>
      <c r="E2644" s="6"/>
    </row>
    <row r="2645">
      <c r="D2645" s="6"/>
      <c r="E2645" s="6"/>
    </row>
    <row r="2646">
      <c r="D2646" s="6"/>
      <c r="E2646" s="6"/>
    </row>
    <row r="2647">
      <c r="D2647" s="6"/>
      <c r="E2647" s="6"/>
    </row>
    <row r="2648">
      <c r="D2648" s="6"/>
      <c r="E2648" s="6"/>
    </row>
    <row r="2649">
      <c r="D2649" s="6"/>
      <c r="E2649" s="6"/>
    </row>
    <row r="2650">
      <c r="D2650" s="6"/>
      <c r="E2650" s="6"/>
    </row>
    <row r="2651">
      <c r="D2651" s="6"/>
      <c r="E2651" s="6"/>
    </row>
    <row r="2652">
      <c r="D2652" s="6"/>
      <c r="E2652" s="6"/>
    </row>
    <row r="2653">
      <c r="D2653" s="6"/>
      <c r="E2653" s="6"/>
    </row>
    <row r="2654">
      <c r="D2654" s="6"/>
      <c r="E2654" s="6"/>
    </row>
    <row r="2655">
      <c r="D2655" s="6"/>
      <c r="E2655" s="6"/>
    </row>
    <row r="2656">
      <c r="D2656" s="6"/>
      <c r="E2656" s="6"/>
    </row>
    <row r="2657">
      <c r="D2657" s="6"/>
      <c r="E2657" s="6"/>
    </row>
    <row r="2658">
      <c r="D2658" s="6"/>
      <c r="E2658" s="6"/>
    </row>
    <row r="2659">
      <c r="D2659" s="6"/>
      <c r="E2659" s="6"/>
    </row>
    <row r="2660">
      <c r="D2660" s="6"/>
      <c r="E2660" s="6"/>
    </row>
    <row r="2661">
      <c r="D2661" s="6"/>
      <c r="E2661" s="6"/>
    </row>
    <row r="2662">
      <c r="D2662" s="6"/>
      <c r="E2662" s="6"/>
    </row>
    <row r="2663">
      <c r="D2663" s="6"/>
      <c r="E2663" s="6"/>
    </row>
    <row r="2664">
      <c r="D2664" s="6"/>
      <c r="E2664" s="6"/>
    </row>
    <row r="2665">
      <c r="D2665" s="6"/>
      <c r="E2665" s="6"/>
    </row>
    <row r="2666">
      <c r="D2666" s="6"/>
      <c r="E2666" s="6"/>
    </row>
    <row r="2667">
      <c r="D2667" s="6"/>
      <c r="E2667" s="6"/>
    </row>
    <row r="2668">
      <c r="D2668" s="6"/>
      <c r="E2668" s="6"/>
    </row>
    <row r="2669">
      <c r="D2669" s="6"/>
      <c r="E2669" s="6"/>
    </row>
    <row r="2670">
      <c r="D2670" s="6"/>
      <c r="E2670" s="6"/>
    </row>
    <row r="2671">
      <c r="D2671" s="6"/>
      <c r="E2671" s="6"/>
    </row>
    <row r="2672">
      <c r="D2672" s="6"/>
      <c r="E2672" s="6"/>
    </row>
    <row r="2673">
      <c r="D2673" s="6"/>
      <c r="E2673" s="6"/>
    </row>
    <row r="2674">
      <c r="D2674" s="6"/>
      <c r="E2674" s="6"/>
    </row>
    <row r="2675">
      <c r="D2675" s="6"/>
      <c r="E2675" s="6"/>
    </row>
    <row r="2676">
      <c r="D2676" s="6"/>
      <c r="E2676" s="6"/>
    </row>
    <row r="2677">
      <c r="D2677" s="6"/>
      <c r="E2677" s="6"/>
    </row>
    <row r="2678">
      <c r="D2678" s="6"/>
      <c r="E2678" s="6"/>
    </row>
    <row r="2679">
      <c r="D2679" s="6"/>
      <c r="E2679" s="6"/>
    </row>
    <row r="2680">
      <c r="D2680" s="6"/>
      <c r="E2680" s="6"/>
    </row>
    <row r="2681">
      <c r="D2681" s="6"/>
      <c r="E2681" s="6"/>
    </row>
    <row r="2682">
      <c r="D2682" s="6"/>
      <c r="E2682" s="6"/>
    </row>
    <row r="2683">
      <c r="D2683" s="6"/>
      <c r="E2683" s="6"/>
    </row>
    <row r="2684">
      <c r="D2684" s="6"/>
      <c r="E2684" s="6"/>
    </row>
    <row r="2685">
      <c r="D2685" s="6"/>
      <c r="E2685" s="6"/>
    </row>
    <row r="2686">
      <c r="D2686" s="6"/>
      <c r="E2686" s="6"/>
    </row>
    <row r="2687">
      <c r="D2687" s="6"/>
      <c r="E2687" s="6"/>
    </row>
    <row r="2688">
      <c r="D2688" s="6"/>
      <c r="E2688" s="6"/>
    </row>
    <row r="2689">
      <c r="D2689" s="6"/>
      <c r="E2689" s="6"/>
    </row>
    <row r="2690">
      <c r="D2690" s="6"/>
      <c r="E2690" s="6"/>
    </row>
    <row r="2691">
      <c r="D2691" s="6"/>
      <c r="E2691" s="6"/>
    </row>
    <row r="2692">
      <c r="D2692" s="6"/>
      <c r="E2692" s="6"/>
    </row>
    <row r="2693">
      <c r="D2693" s="6"/>
      <c r="E2693" s="6"/>
    </row>
    <row r="2694">
      <c r="D2694" s="6"/>
      <c r="E2694" s="6"/>
    </row>
    <row r="2695">
      <c r="D2695" s="6"/>
      <c r="E2695" s="6"/>
    </row>
    <row r="2696">
      <c r="D2696" s="6"/>
      <c r="E2696" s="6"/>
    </row>
    <row r="2697">
      <c r="D2697" s="6"/>
      <c r="E2697" s="6"/>
    </row>
    <row r="2698">
      <c r="D2698" s="6"/>
      <c r="E2698" s="6"/>
    </row>
    <row r="2699">
      <c r="D2699" s="6"/>
      <c r="E2699" s="6"/>
    </row>
    <row r="2700">
      <c r="D2700" s="6"/>
      <c r="E2700" s="6"/>
    </row>
    <row r="2701">
      <c r="D2701" s="6"/>
      <c r="E2701" s="6"/>
    </row>
    <row r="2702">
      <c r="D2702" s="6"/>
      <c r="E2702" s="6"/>
    </row>
    <row r="2703">
      <c r="D2703" s="6"/>
      <c r="E2703" s="6"/>
    </row>
    <row r="2704">
      <c r="D2704" s="6"/>
      <c r="E2704" s="6"/>
    </row>
    <row r="2705">
      <c r="D2705" s="6"/>
      <c r="E2705" s="6"/>
    </row>
    <row r="2706">
      <c r="D2706" s="6"/>
      <c r="E2706" s="6"/>
    </row>
    <row r="2707">
      <c r="D2707" s="6"/>
      <c r="E2707" s="6"/>
    </row>
    <row r="2708">
      <c r="D2708" s="6"/>
      <c r="E2708" s="6"/>
    </row>
    <row r="2709">
      <c r="D2709" s="6"/>
      <c r="E2709" s="6"/>
    </row>
    <row r="2710">
      <c r="D2710" s="6"/>
      <c r="E2710" s="6"/>
    </row>
    <row r="2711">
      <c r="D2711" s="6"/>
      <c r="E2711" s="6"/>
    </row>
    <row r="2712">
      <c r="D2712" s="6"/>
      <c r="E2712" s="6"/>
    </row>
    <row r="2713">
      <c r="D2713" s="6"/>
      <c r="E2713" s="6"/>
    </row>
    <row r="2714">
      <c r="D2714" s="6"/>
      <c r="E2714" s="6"/>
    </row>
    <row r="2715">
      <c r="D2715" s="6"/>
      <c r="E2715" s="6"/>
    </row>
    <row r="2716">
      <c r="D2716" s="6"/>
      <c r="E2716" s="6"/>
    </row>
    <row r="2717">
      <c r="D2717" s="6"/>
      <c r="E2717" s="6"/>
    </row>
    <row r="2718">
      <c r="D2718" s="6"/>
      <c r="E2718" s="6"/>
    </row>
    <row r="2719">
      <c r="D2719" s="6"/>
      <c r="E2719" s="6"/>
    </row>
    <row r="2720">
      <c r="D2720" s="6"/>
      <c r="E2720" s="6"/>
    </row>
    <row r="2721">
      <c r="D2721" s="6"/>
      <c r="E2721" s="6"/>
    </row>
    <row r="2722">
      <c r="D2722" s="6"/>
      <c r="E2722" s="6"/>
    </row>
    <row r="2723">
      <c r="D2723" s="6"/>
      <c r="E2723" s="6"/>
    </row>
    <row r="2724">
      <c r="D2724" s="6"/>
      <c r="E2724" s="6"/>
    </row>
    <row r="2725">
      <c r="D2725" s="6"/>
      <c r="E2725" s="6"/>
    </row>
    <row r="2726">
      <c r="D2726" s="6"/>
      <c r="E2726" s="6"/>
    </row>
    <row r="2727">
      <c r="D2727" s="6"/>
      <c r="E2727" s="6"/>
    </row>
    <row r="2728">
      <c r="D2728" s="6"/>
      <c r="E2728" s="6"/>
    </row>
    <row r="2729">
      <c r="D2729" s="6"/>
      <c r="E2729" s="6"/>
    </row>
    <row r="2730">
      <c r="D2730" s="6"/>
      <c r="E2730" s="6"/>
    </row>
    <row r="2731">
      <c r="D2731" s="6"/>
      <c r="E2731" s="6"/>
    </row>
    <row r="2732">
      <c r="D2732" s="6"/>
      <c r="E2732" s="6"/>
    </row>
    <row r="2733">
      <c r="D2733" s="6"/>
      <c r="E2733" s="6"/>
    </row>
    <row r="2734">
      <c r="D2734" s="6"/>
      <c r="E2734" s="6"/>
    </row>
    <row r="2735">
      <c r="D2735" s="6"/>
      <c r="E2735" s="6"/>
    </row>
    <row r="2736">
      <c r="D2736" s="6"/>
      <c r="E2736" s="6"/>
    </row>
    <row r="2737">
      <c r="D2737" s="6"/>
      <c r="E2737" s="6"/>
    </row>
    <row r="2738">
      <c r="D2738" s="6"/>
      <c r="E2738" s="6"/>
    </row>
    <row r="2739">
      <c r="D2739" s="6"/>
      <c r="E2739" s="6"/>
    </row>
    <row r="2740">
      <c r="D2740" s="6"/>
      <c r="E2740" s="6"/>
    </row>
    <row r="2741">
      <c r="D2741" s="6"/>
      <c r="E2741" s="6"/>
    </row>
    <row r="2742">
      <c r="D2742" s="6"/>
      <c r="E2742" s="6"/>
    </row>
    <row r="2743">
      <c r="D2743" s="6"/>
      <c r="E2743" s="6"/>
    </row>
    <row r="2744">
      <c r="D2744" s="6"/>
      <c r="E2744" s="6"/>
    </row>
    <row r="2745">
      <c r="D2745" s="6"/>
      <c r="E2745" s="6"/>
    </row>
    <row r="2746">
      <c r="D2746" s="6"/>
      <c r="E2746" s="6"/>
    </row>
    <row r="2747">
      <c r="D2747" s="6"/>
      <c r="E2747" s="6"/>
    </row>
    <row r="2748">
      <c r="D2748" s="6"/>
      <c r="E2748" s="6"/>
    </row>
    <row r="2749">
      <c r="D2749" s="6"/>
      <c r="E2749" s="6"/>
    </row>
    <row r="2750">
      <c r="D2750" s="6"/>
      <c r="E2750" s="6"/>
    </row>
    <row r="2751">
      <c r="D2751" s="6"/>
      <c r="E2751" s="6"/>
    </row>
    <row r="2752">
      <c r="D2752" s="6"/>
      <c r="E2752" s="6"/>
    </row>
    <row r="2753">
      <c r="D2753" s="6"/>
      <c r="E2753" s="6"/>
    </row>
    <row r="2754">
      <c r="D2754" s="6"/>
      <c r="E2754" s="6"/>
    </row>
    <row r="2755">
      <c r="D2755" s="6"/>
      <c r="E2755" s="6"/>
    </row>
    <row r="2756">
      <c r="D2756" s="6"/>
      <c r="E2756" s="6"/>
    </row>
    <row r="2757">
      <c r="D2757" s="6"/>
      <c r="E2757" s="6"/>
    </row>
    <row r="2758">
      <c r="D2758" s="6"/>
      <c r="E2758" s="6"/>
    </row>
    <row r="2759">
      <c r="D2759" s="6"/>
      <c r="E2759" s="6"/>
    </row>
    <row r="2760">
      <c r="D2760" s="6"/>
      <c r="E2760" s="6"/>
    </row>
    <row r="2761">
      <c r="D2761" s="6"/>
      <c r="E2761" s="6"/>
    </row>
    <row r="2762">
      <c r="D2762" s="6"/>
      <c r="E2762" s="6"/>
    </row>
    <row r="2763">
      <c r="D2763" s="6"/>
      <c r="E2763" s="6"/>
    </row>
    <row r="2764">
      <c r="D2764" s="6"/>
      <c r="E2764" s="6"/>
    </row>
    <row r="2765">
      <c r="D2765" s="6"/>
      <c r="E2765" s="6"/>
    </row>
    <row r="2766">
      <c r="D2766" s="6"/>
      <c r="E2766" s="6"/>
    </row>
    <row r="2767">
      <c r="D2767" s="6"/>
      <c r="E2767" s="6"/>
    </row>
    <row r="2768">
      <c r="D2768" s="6"/>
      <c r="E2768" s="6"/>
    </row>
    <row r="2769">
      <c r="D2769" s="6"/>
      <c r="E2769" s="6"/>
    </row>
    <row r="2770">
      <c r="D2770" s="6"/>
      <c r="E2770" s="6"/>
    </row>
    <row r="2771">
      <c r="D2771" s="6"/>
      <c r="E2771" s="6"/>
    </row>
    <row r="2772">
      <c r="D2772" s="6"/>
      <c r="E2772" s="6"/>
    </row>
    <row r="2773">
      <c r="D2773" s="6"/>
      <c r="E2773" s="6"/>
    </row>
    <row r="2774">
      <c r="D2774" s="6"/>
      <c r="E2774" s="6"/>
    </row>
    <row r="2775">
      <c r="D2775" s="6"/>
      <c r="E2775" s="6"/>
    </row>
    <row r="2776">
      <c r="D2776" s="6"/>
      <c r="E2776" s="6"/>
    </row>
    <row r="2777">
      <c r="D2777" s="6"/>
      <c r="E2777" s="6"/>
    </row>
    <row r="2778">
      <c r="D2778" s="6"/>
      <c r="E2778" s="6"/>
    </row>
    <row r="2779">
      <c r="D2779" s="6"/>
      <c r="E2779" s="6"/>
    </row>
    <row r="2780">
      <c r="D2780" s="6"/>
      <c r="E2780" s="6"/>
    </row>
    <row r="2781">
      <c r="D2781" s="6"/>
      <c r="E2781" s="6"/>
    </row>
    <row r="2782">
      <c r="D2782" s="6"/>
      <c r="E2782" s="6"/>
    </row>
    <row r="2783">
      <c r="D2783" s="6"/>
      <c r="E2783" s="6"/>
    </row>
    <row r="2784">
      <c r="D2784" s="6"/>
      <c r="E2784" s="6"/>
    </row>
    <row r="2785">
      <c r="D2785" s="6"/>
      <c r="E2785" s="6"/>
    </row>
    <row r="2786">
      <c r="D2786" s="6"/>
      <c r="E2786" s="6"/>
    </row>
    <row r="2787">
      <c r="D2787" s="6"/>
      <c r="E2787" s="6"/>
    </row>
    <row r="2788">
      <c r="D2788" s="6"/>
      <c r="E2788" s="6"/>
    </row>
    <row r="2789">
      <c r="D2789" s="6"/>
      <c r="E2789" s="6"/>
    </row>
    <row r="2790">
      <c r="D2790" s="6"/>
      <c r="E2790" s="6"/>
    </row>
    <row r="2791">
      <c r="D2791" s="6"/>
      <c r="E2791" s="6"/>
    </row>
    <row r="2792">
      <c r="D2792" s="6"/>
      <c r="E2792" s="6"/>
    </row>
    <row r="2793">
      <c r="D2793" s="6"/>
      <c r="E2793" s="6"/>
    </row>
    <row r="2794">
      <c r="D2794" s="6"/>
      <c r="E2794" s="6"/>
    </row>
    <row r="2795">
      <c r="D2795" s="6"/>
      <c r="E2795" s="6"/>
    </row>
    <row r="2796">
      <c r="D2796" s="6"/>
      <c r="E2796" s="6"/>
    </row>
    <row r="2797">
      <c r="D2797" s="6"/>
      <c r="E2797" s="6"/>
    </row>
    <row r="2798">
      <c r="D2798" s="6"/>
      <c r="E2798" s="6"/>
    </row>
    <row r="2799">
      <c r="D2799" s="6"/>
      <c r="E2799" s="6"/>
    </row>
    <row r="2800">
      <c r="D2800" s="6"/>
      <c r="E2800" s="6"/>
    </row>
    <row r="2801">
      <c r="D2801" s="6"/>
      <c r="E2801" s="6"/>
    </row>
    <row r="2802">
      <c r="D2802" s="6"/>
      <c r="E2802" s="6"/>
    </row>
    <row r="2803">
      <c r="D2803" s="6"/>
      <c r="E2803" s="6"/>
    </row>
    <row r="2804">
      <c r="D2804" s="6"/>
      <c r="E2804" s="6"/>
    </row>
    <row r="2805">
      <c r="D2805" s="6"/>
      <c r="E2805" s="6"/>
    </row>
    <row r="2806">
      <c r="D2806" s="6"/>
      <c r="E2806" s="6"/>
    </row>
    <row r="2807">
      <c r="D2807" s="6"/>
      <c r="E2807" s="6"/>
    </row>
    <row r="2808">
      <c r="D2808" s="6"/>
      <c r="E2808" s="6"/>
    </row>
    <row r="2809">
      <c r="D2809" s="6"/>
      <c r="E2809" s="6"/>
    </row>
    <row r="2810">
      <c r="D2810" s="6"/>
      <c r="E2810" s="6"/>
    </row>
    <row r="2811">
      <c r="D2811" s="6"/>
      <c r="E2811" s="6"/>
    </row>
    <row r="2812">
      <c r="D2812" s="6"/>
      <c r="E2812" s="6"/>
    </row>
    <row r="2813">
      <c r="D2813" s="6"/>
      <c r="E2813" s="6"/>
    </row>
    <row r="2814">
      <c r="D2814" s="6"/>
      <c r="E2814" s="6"/>
    </row>
    <row r="2815">
      <c r="D2815" s="6"/>
      <c r="E2815" s="6"/>
    </row>
    <row r="2816">
      <c r="D2816" s="6"/>
      <c r="E2816" s="6"/>
    </row>
    <row r="2817">
      <c r="D2817" s="6"/>
      <c r="E2817" s="6"/>
    </row>
    <row r="2818">
      <c r="D2818" s="6"/>
      <c r="E2818" s="6"/>
    </row>
    <row r="2819">
      <c r="D2819" s="6"/>
      <c r="E2819" s="6"/>
    </row>
    <row r="2820">
      <c r="D2820" s="6"/>
      <c r="E2820" s="6"/>
    </row>
    <row r="2821">
      <c r="D2821" s="6"/>
      <c r="E2821" s="6"/>
    </row>
    <row r="2822">
      <c r="D2822" s="6"/>
      <c r="E2822" s="6"/>
    </row>
    <row r="2823">
      <c r="D2823" s="6"/>
      <c r="E2823" s="6"/>
    </row>
    <row r="2824">
      <c r="D2824" s="6"/>
      <c r="E2824" s="6"/>
    </row>
    <row r="2825">
      <c r="D2825" s="6"/>
      <c r="E2825" s="6"/>
    </row>
    <row r="2826">
      <c r="D2826" s="6"/>
      <c r="E2826" s="6"/>
    </row>
    <row r="2827">
      <c r="D2827" s="6"/>
      <c r="E2827" s="6"/>
    </row>
    <row r="2828">
      <c r="D2828" s="6"/>
      <c r="E2828" s="6"/>
    </row>
    <row r="2829">
      <c r="D2829" s="6"/>
      <c r="E2829" s="6"/>
    </row>
    <row r="2830">
      <c r="D2830" s="6"/>
      <c r="E2830" s="6"/>
    </row>
    <row r="2831">
      <c r="D2831" s="6"/>
      <c r="E2831" s="6"/>
    </row>
    <row r="2832">
      <c r="D2832" s="6"/>
      <c r="E2832" s="6"/>
    </row>
    <row r="2833">
      <c r="D2833" s="6"/>
      <c r="E2833" s="6"/>
    </row>
    <row r="2834">
      <c r="D2834" s="6"/>
      <c r="E2834" s="6"/>
    </row>
    <row r="2835">
      <c r="D2835" s="6"/>
      <c r="E2835" s="6"/>
    </row>
    <row r="2836">
      <c r="D2836" s="6"/>
      <c r="E2836" s="6"/>
    </row>
    <row r="2837">
      <c r="D2837" s="6"/>
      <c r="E2837" s="6"/>
    </row>
    <row r="2838">
      <c r="D2838" s="6"/>
      <c r="E2838" s="6"/>
    </row>
    <row r="2839">
      <c r="D2839" s="6"/>
      <c r="E2839" s="6"/>
    </row>
    <row r="2840">
      <c r="D2840" s="6"/>
      <c r="E2840" s="6"/>
    </row>
    <row r="2841">
      <c r="D2841" s="6"/>
      <c r="E2841" s="6"/>
    </row>
    <row r="2842">
      <c r="D2842" s="6"/>
      <c r="E2842" s="6"/>
    </row>
    <row r="2843">
      <c r="D2843" s="6"/>
      <c r="E2843" s="6"/>
    </row>
    <row r="2844">
      <c r="D2844" s="6"/>
      <c r="E2844" s="6"/>
    </row>
    <row r="2845">
      <c r="D2845" s="6"/>
      <c r="E2845" s="6"/>
    </row>
    <row r="2846">
      <c r="D2846" s="6"/>
      <c r="E2846" s="6"/>
    </row>
    <row r="2847">
      <c r="D2847" s="6"/>
      <c r="E2847" s="6"/>
    </row>
    <row r="2848">
      <c r="D2848" s="6"/>
      <c r="E2848" s="6"/>
    </row>
    <row r="2849">
      <c r="D2849" s="6"/>
      <c r="E2849" s="6"/>
    </row>
    <row r="2850">
      <c r="D2850" s="6"/>
      <c r="E2850" s="6"/>
    </row>
    <row r="2851">
      <c r="D2851" s="6"/>
      <c r="E2851" s="6"/>
    </row>
    <row r="2852">
      <c r="D2852" s="6"/>
      <c r="E2852" s="6"/>
    </row>
    <row r="2853">
      <c r="D2853" s="6"/>
      <c r="E2853" s="6"/>
    </row>
    <row r="2854">
      <c r="D2854" s="6"/>
      <c r="E2854" s="6"/>
    </row>
    <row r="2855">
      <c r="D2855" s="6"/>
      <c r="E2855" s="6"/>
    </row>
    <row r="2856">
      <c r="D2856" s="6"/>
      <c r="E2856" s="6"/>
    </row>
    <row r="2857">
      <c r="D2857" s="6"/>
      <c r="E2857" s="6"/>
    </row>
    <row r="2858">
      <c r="D2858" s="6"/>
      <c r="E2858" s="6"/>
    </row>
    <row r="2859">
      <c r="D2859" s="6"/>
      <c r="E2859" s="6"/>
    </row>
    <row r="2860">
      <c r="D2860" s="6"/>
      <c r="E2860" s="6"/>
    </row>
    <row r="2861">
      <c r="D2861" s="6"/>
      <c r="E2861" s="6"/>
    </row>
    <row r="2862">
      <c r="D2862" s="6"/>
      <c r="E2862" s="6"/>
    </row>
    <row r="2863">
      <c r="D2863" s="6"/>
      <c r="E2863" s="6"/>
    </row>
    <row r="2864">
      <c r="D2864" s="6"/>
      <c r="E2864" s="6"/>
    </row>
    <row r="2865">
      <c r="D2865" s="6"/>
      <c r="E2865" s="6"/>
    </row>
    <row r="2866">
      <c r="D2866" s="6"/>
      <c r="E2866" s="6"/>
    </row>
    <row r="2867">
      <c r="D2867" s="6"/>
      <c r="E2867" s="6"/>
    </row>
    <row r="2868">
      <c r="D2868" s="6"/>
      <c r="E2868" s="6"/>
    </row>
    <row r="2869">
      <c r="D2869" s="6"/>
      <c r="E2869" s="6"/>
    </row>
    <row r="2870">
      <c r="D2870" s="6"/>
      <c r="E2870" s="6"/>
    </row>
    <row r="2871">
      <c r="D2871" s="6"/>
      <c r="E2871" s="6"/>
    </row>
    <row r="2872">
      <c r="D2872" s="6"/>
      <c r="E2872" s="6"/>
    </row>
    <row r="2873">
      <c r="D2873" s="6"/>
      <c r="E2873" s="6"/>
    </row>
    <row r="2874">
      <c r="D2874" s="6"/>
      <c r="E2874" s="6"/>
    </row>
    <row r="2875">
      <c r="D2875" s="6"/>
      <c r="E2875" s="6"/>
    </row>
    <row r="2876">
      <c r="D2876" s="6"/>
      <c r="E2876" s="6"/>
    </row>
    <row r="2877">
      <c r="D2877" s="6"/>
      <c r="E2877" s="6"/>
    </row>
    <row r="2878">
      <c r="D2878" s="6"/>
      <c r="E2878" s="6"/>
    </row>
    <row r="2879">
      <c r="D2879" s="6"/>
      <c r="E2879" s="6"/>
    </row>
    <row r="2880">
      <c r="D2880" s="6"/>
      <c r="E2880" s="6"/>
    </row>
    <row r="2881">
      <c r="D2881" s="6"/>
      <c r="E2881" s="6"/>
    </row>
    <row r="2882">
      <c r="D2882" s="6"/>
      <c r="E2882" s="6"/>
    </row>
    <row r="2883">
      <c r="D2883" s="6"/>
      <c r="E2883" s="6"/>
    </row>
    <row r="2884">
      <c r="D2884" s="6"/>
      <c r="E2884" s="6"/>
    </row>
    <row r="2885">
      <c r="D2885" s="6"/>
      <c r="E2885" s="6"/>
    </row>
    <row r="2886">
      <c r="D2886" s="6"/>
      <c r="E2886" s="6"/>
    </row>
    <row r="2887">
      <c r="D2887" s="6"/>
      <c r="E2887" s="6"/>
    </row>
    <row r="2888">
      <c r="D2888" s="6"/>
      <c r="E2888" s="6"/>
    </row>
    <row r="2889">
      <c r="D2889" s="6"/>
      <c r="E2889" s="6"/>
    </row>
    <row r="2890">
      <c r="D2890" s="6"/>
      <c r="E2890" s="6"/>
    </row>
    <row r="2891">
      <c r="D2891" s="6"/>
      <c r="E2891" s="6"/>
    </row>
    <row r="2892">
      <c r="D2892" s="6"/>
      <c r="E2892" s="6"/>
    </row>
    <row r="2893">
      <c r="D2893" s="6"/>
      <c r="E2893" s="6"/>
    </row>
    <row r="2894">
      <c r="D2894" s="6"/>
      <c r="E2894" s="6"/>
    </row>
    <row r="2895">
      <c r="D2895" s="6"/>
      <c r="E2895" s="6"/>
    </row>
    <row r="2896">
      <c r="D2896" s="6"/>
      <c r="E2896" s="6"/>
    </row>
    <row r="2897">
      <c r="D2897" s="6"/>
      <c r="E2897" s="6"/>
    </row>
    <row r="2898">
      <c r="D2898" s="6"/>
      <c r="E2898" s="6"/>
    </row>
    <row r="2899">
      <c r="D2899" s="6"/>
      <c r="E2899" s="6"/>
    </row>
    <row r="2900">
      <c r="D2900" s="6"/>
      <c r="E2900" s="6"/>
    </row>
    <row r="2901">
      <c r="D2901" s="6"/>
      <c r="E2901" s="6"/>
    </row>
    <row r="2902">
      <c r="D2902" s="6"/>
      <c r="E2902" s="6"/>
    </row>
    <row r="2903">
      <c r="D2903" s="6"/>
      <c r="E2903" s="6"/>
    </row>
    <row r="2904">
      <c r="D2904" s="6"/>
      <c r="E2904" s="6"/>
    </row>
    <row r="2905">
      <c r="D2905" s="6"/>
      <c r="E2905" s="6"/>
    </row>
    <row r="2906">
      <c r="D2906" s="6"/>
      <c r="E2906" s="6"/>
    </row>
    <row r="2907">
      <c r="D2907" s="6"/>
      <c r="E2907" s="6"/>
    </row>
    <row r="2908">
      <c r="D2908" s="6"/>
      <c r="E2908" s="6"/>
    </row>
    <row r="2909">
      <c r="D2909" s="6"/>
      <c r="E2909" s="6"/>
    </row>
    <row r="2910">
      <c r="D2910" s="6"/>
      <c r="E2910" s="6"/>
    </row>
    <row r="2911">
      <c r="D2911" s="6"/>
      <c r="E2911" s="6"/>
    </row>
    <row r="2912">
      <c r="D2912" s="6"/>
      <c r="E2912" s="6"/>
    </row>
    <row r="2913">
      <c r="D2913" s="6"/>
      <c r="E2913" s="6"/>
    </row>
    <row r="2914">
      <c r="D2914" s="6"/>
      <c r="E2914" s="6"/>
    </row>
    <row r="2915">
      <c r="D2915" s="6"/>
      <c r="E2915" s="6"/>
    </row>
    <row r="2916">
      <c r="D2916" s="6"/>
      <c r="E2916" s="6"/>
    </row>
    <row r="2917">
      <c r="D2917" s="6"/>
      <c r="E2917" s="6"/>
    </row>
    <row r="2918">
      <c r="D2918" s="6"/>
      <c r="E2918" s="6"/>
    </row>
    <row r="2919">
      <c r="D2919" s="6"/>
      <c r="E2919" s="6"/>
    </row>
    <row r="2920">
      <c r="D2920" s="6"/>
      <c r="E2920" s="6"/>
    </row>
    <row r="2921">
      <c r="D2921" s="6"/>
      <c r="E2921" s="6"/>
    </row>
    <row r="2922">
      <c r="D2922" s="6"/>
      <c r="E2922" s="6"/>
    </row>
    <row r="2923">
      <c r="D2923" s="6"/>
      <c r="E2923" s="6"/>
    </row>
    <row r="2924">
      <c r="D2924" s="6"/>
      <c r="E2924" s="6"/>
    </row>
    <row r="2925">
      <c r="D2925" s="6"/>
      <c r="E2925" s="6"/>
    </row>
    <row r="2926">
      <c r="D2926" s="6"/>
      <c r="E2926" s="6"/>
    </row>
    <row r="2927">
      <c r="D2927" s="6"/>
      <c r="E2927" s="6"/>
    </row>
    <row r="2928">
      <c r="D2928" s="6"/>
      <c r="E2928" s="6"/>
    </row>
    <row r="2929">
      <c r="D2929" s="6"/>
      <c r="E2929" s="6"/>
    </row>
    <row r="2930">
      <c r="D2930" s="6"/>
      <c r="E2930" s="6"/>
    </row>
    <row r="2931">
      <c r="D2931" s="6"/>
      <c r="E2931" s="6"/>
    </row>
    <row r="2932">
      <c r="D2932" s="6"/>
      <c r="E2932" s="6"/>
    </row>
    <row r="2933">
      <c r="D2933" s="6"/>
      <c r="E2933" s="6"/>
    </row>
    <row r="2934">
      <c r="D2934" s="6"/>
      <c r="E2934" s="6"/>
    </row>
    <row r="2935">
      <c r="D2935" s="6"/>
      <c r="E2935" s="6"/>
    </row>
    <row r="2936">
      <c r="D2936" s="6"/>
      <c r="E2936" s="6"/>
    </row>
    <row r="2937">
      <c r="D2937" s="6"/>
      <c r="E2937" s="6"/>
    </row>
    <row r="2938">
      <c r="D2938" s="6"/>
      <c r="E2938" s="6"/>
    </row>
    <row r="2939">
      <c r="D2939" s="6"/>
      <c r="E2939" s="6"/>
    </row>
    <row r="2940">
      <c r="D2940" s="6"/>
      <c r="E2940" s="6"/>
    </row>
    <row r="2941">
      <c r="D2941" s="6"/>
      <c r="E2941" s="6"/>
    </row>
    <row r="2942">
      <c r="D2942" s="6"/>
      <c r="E2942" s="6"/>
    </row>
    <row r="2943">
      <c r="D2943" s="6"/>
      <c r="E2943" s="6"/>
    </row>
    <row r="2944">
      <c r="D2944" s="6"/>
      <c r="E2944" s="6"/>
    </row>
    <row r="2945">
      <c r="D2945" s="6"/>
      <c r="E2945" s="6"/>
    </row>
    <row r="2946">
      <c r="D2946" s="6"/>
      <c r="E2946" s="6"/>
    </row>
    <row r="2947">
      <c r="D2947" s="6"/>
      <c r="E2947" s="6"/>
    </row>
    <row r="2948">
      <c r="D2948" s="6"/>
      <c r="E2948" s="6"/>
    </row>
    <row r="2949">
      <c r="D2949" s="6"/>
      <c r="E2949" s="6"/>
    </row>
    <row r="2950">
      <c r="D2950" s="6"/>
      <c r="E2950" s="6"/>
    </row>
    <row r="2951">
      <c r="D2951" s="6"/>
      <c r="E2951" s="6"/>
    </row>
    <row r="2952">
      <c r="D2952" s="6"/>
      <c r="E2952" s="6"/>
    </row>
    <row r="2953">
      <c r="D2953" s="6"/>
      <c r="E2953" s="6"/>
    </row>
    <row r="2954">
      <c r="D2954" s="6"/>
      <c r="E2954" s="6"/>
    </row>
    <row r="2955">
      <c r="D2955" s="6"/>
      <c r="E2955" s="6"/>
    </row>
    <row r="2956">
      <c r="D2956" s="6"/>
      <c r="E2956" s="6"/>
    </row>
    <row r="2957">
      <c r="D2957" s="6"/>
      <c r="E2957" s="6"/>
    </row>
    <row r="2958">
      <c r="D2958" s="6"/>
      <c r="E2958" s="6"/>
    </row>
    <row r="2959">
      <c r="D2959" s="6"/>
      <c r="E2959" s="6"/>
    </row>
    <row r="2960">
      <c r="D2960" s="6"/>
      <c r="E2960" s="6"/>
    </row>
    <row r="2961">
      <c r="D2961" s="6"/>
      <c r="E2961" s="6"/>
    </row>
    <row r="2962">
      <c r="D2962" s="6"/>
      <c r="E2962" s="6"/>
    </row>
    <row r="2963">
      <c r="D2963" s="6"/>
      <c r="E2963" s="6"/>
    </row>
    <row r="2964">
      <c r="D2964" s="6"/>
      <c r="E2964" s="6"/>
    </row>
    <row r="2965">
      <c r="D2965" s="6"/>
      <c r="E2965" s="6"/>
    </row>
    <row r="2966">
      <c r="D2966" s="6"/>
      <c r="E2966" s="6"/>
    </row>
    <row r="2967">
      <c r="D2967" s="6"/>
      <c r="E2967" s="6"/>
    </row>
    <row r="2968">
      <c r="D2968" s="6"/>
      <c r="E2968" s="6"/>
    </row>
    <row r="2969">
      <c r="D2969" s="6"/>
      <c r="E2969" s="6"/>
    </row>
    <row r="2970">
      <c r="D2970" s="6"/>
      <c r="E2970" s="6"/>
    </row>
    <row r="2971">
      <c r="D2971" s="6"/>
      <c r="E2971" s="6"/>
    </row>
    <row r="2972">
      <c r="D2972" s="6"/>
      <c r="E2972" s="6"/>
    </row>
    <row r="2973">
      <c r="D2973" s="6"/>
      <c r="E2973" s="6"/>
    </row>
    <row r="2974">
      <c r="D2974" s="6"/>
      <c r="E2974" s="6"/>
    </row>
    <row r="2975">
      <c r="D2975" s="6"/>
      <c r="E2975" s="6"/>
    </row>
    <row r="2976">
      <c r="D2976" s="6"/>
      <c r="E2976" s="6"/>
    </row>
    <row r="2977">
      <c r="D2977" s="6"/>
      <c r="E2977" s="6"/>
    </row>
    <row r="2978">
      <c r="D2978" s="6"/>
      <c r="E2978" s="6"/>
    </row>
    <row r="2979">
      <c r="D2979" s="6"/>
      <c r="E2979" s="6"/>
    </row>
    <row r="2980">
      <c r="D2980" s="6"/>
      <c r="E2980" s="6"/>
    </row>
    <row r="2981">
      <c r="D2981" s="6"/>
      <c r="E2981" s="6"/>
    </row>
    <row r="2982">
      <c r="D2982" s="6"/>
      <c r="E2982" s="6"/>
    </row>
    <row r="2983">
      <c r="D2983" s="6"/>
      <c r="E2983" s="6"/>
    </row>
    <row r="2984">
      <c r="D2984" s="6"/>
      <c r="E2984" s="6"/>
    </row>
    <row r="2985">
      <c r="D2985" s="6"/>
      <c r="E2985" s="6"/>
    </row>
    <row r="2986">
      <c r="D2986" s="6"/>
      <c r="E2986" s="6"/>
    </row>
    <row r="2987">
      <c r="D2987" s="6"/>
      <c r="E2987" s="6"/>
    </row>
    <row r="2988">
      <c r="D2988" s="6"/>
      <c r="E2988" s="6"/>
    </row>
    <row r="2989">
      <c r="D2989" s="6"/>
      <c r="E2989" s="6"/>
    </row>
    <row r="2990">
      <c r="D2990" s="6"/>
      <c r="E2990" s="6"/>
    </row>
    <row r="2991">
      <c r="D2991" s="6"/>
      <c r="E2991" s="6"/>
    </row>
    <row r="2992">
      <c r="D2992" s="6"/>
      <c r="E2992" s="6"/>
    </row>
    <row r="2993">
      <c r="D2993" s="6"/>
      <c r="E2993" s="6"/>
    </row>
    <row r="2994">
      <c r="D2994" s="6"/>
      <c r="E2994" s="6"/>
    </row>
    <row r="2995">
      <c r="D2995" s="6"/>
      <c r="E2995" s="6"/>
    </row>
    <row r="2996">
      <c r="D2996" s="6"/>
      <c r="E2996" s="6"/>
    </row>
    <row r="2997">
      <c r="D2997" s="6"/>
      <c r="E2997" s="6"/>
    </row>
    <row r="2998">
      <c r="D2998" s="6"/>
      <c r="E2998" s="6"/>
    </row>
    <row r="2999">
      <c r="D2999" s="6"/>
      <c r="E2999" s="6"/>
    </row>
    <row r="3000">
      <c r="D3000" s="6"/>
      <c r="E3000" s="6"/>
    </row>
  </sheetData>
  <customSheetViews>
    <customSheetView guid="{5722970A-0EDB-4839-9347-3CBE17DCB941}" filter="1" showAutoFilter="1">
      <autoFilter ref="$A$1:$J$1001"/>
    </customSheetView>
  </customSheetViews>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6.13"/>
  </cols>
  <sheetData>
    <row r="1">
      <c r="A1" s="7" t="s">
        <v>181</v>
      </c>
    </row>
    <row r="3"/>
    <row r="4"/>
    <row r="5"/>
    <row r="6"/>
    <row r="7"/>
    <row r="8"/>
    <row r="10"/>
    <row r="11"/>
    <row r="12"/>
    <row r="13"/>
    <row r="14"/>
  </sheetData>
  <mergeCells count="1">
    <mergeCell ref="A1:C1"/>
  </mergeCells>
  <drawing r:id="rId3"/>
  <extLst>
    <ext uri="{3A4CF648-6AED-40f4-86FF-DC5316D8AED3}">
      <x14:slicerList>
        <x14:slicer r:id="rId4"/>
      </x14:slicerList>
    </ext>
  </extLst>
</worksheet>
</file>